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_learning_ai\AUT_BiralatiSablonGeneralo\"/>
    </mc:Choice>
  </mc:AlternateContent>
  <xr:revisionPtr revIDLastSave="0" documentId="13_ncr:1_{7725056D-61E4-465B-AA04-EF3309677B11}" xr6:coauthVersionLast="47" xr6:coauthVersionMax="47" xr10:uidLastSave="{00000000-0000-0000-0000-000000000000}"/>
  <bookViews>
    <workbookView xWindow="-120" yWindow="-120" windowWidth="29040" windowHeight="15840" activeTab="1" xr2:uid="{1DD76C52-3F59-4F1E-B750-DCFFDBCB0331}"/>
  </bookViews>
  <sheets>
    <sheet name="Útmutató" sheetId="1" r:id="rId1"/>
    <sheet name="GeneráltHallgatóiLista" sheetId="3" r:id="rId2"/>
    <sheet name="Tantárgyi adatok" sheetId="2" r:id="rId3"/>
    <sheet name="Beállítások" sheetId="4" r:id="rId4"/>
  </sheets>
  <definedNames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63" i="3" l="1"/>
  <c r="D463" i="3"/>
  <c r="E462" i="3"/>
  <c r="D462" i="3"/>
  <c r="E461" i="3"/>
  <c r="D461" i="3"/>
  <c r="E460" i="3"/>
  <c r="D460" i="3"/>
  <c r="E459" i="3"/>
  <c r="D459" i="3"/>
  <c r="E458" i="3"/>
  <c r="D458" i="3"/>
  <c r="E457" i="3"/>
  <c r="D457" i="3"/>
  <c r="E456" i="3"/>
  <c r="D456" i="3"/>
  <c r="E455" i="3"/>
  <c r="D455" i="3"/>
  <c r="E454" i="3"/>
  <c r="D454" i="3"/>
  <c r="E453" i="3"/>
  <c r="D453" i="3"/>
  <c r="E452" i="3"/>
  <c r="D452" i="3"/>
  <c r="E451" i="3"/>
  <c r="D451" i="3"/>
  <c r="E450" i="3"/>
  <c r="D450" i="3"/>
  <c r="E449" i="3"/>
  <c r="D449" i="3"/>
  <c r="E448" i="3"/>
  <c r="D448" i="3"/>
  <c r="E447" i="3"/>
  <c r="D447" i="3"/>
  <c r="E446" i="3"/>
  <c r="D446" i="3"/>
  <c r="E445" i="3"/>
  <c r="D445" i="3"/>
  <c r="E444" i="3"/>
  <c r="D444" i="3"/>
  <c r="E443" i="3"/>
  <c r="D443" i="3"/>
  <c r="E442" i="3"/>
  <c r="D442" i="3"/>
  <c r="E441" i="3"/>
  <c r="D441" i="3"/>
  <c r="E440" i="3"/>
  <c r="D440" i="3"/>
  <c r="E439" i="3"/>
  <c r="D439" i="3"/>
  <c r="E438" i="3"/>
  <c r="D438" i="3"/>
  <c r="E437" i="3"/>
  <c r="D437" i="3"/>
  <c r="E436" i="3"/>
  <c r="D436" i="3"/>
  <c r="E435" i="3"/>
  <c r="D435" i="3"/>
  <c r="E434" i="3"/>
  <c r="D434" i="3"/>
  <c r="E433" i="3"/>
  <c r="D433" i="3"/>
  <c r="E432" i="3"/>
  <c r="D432" i="3"/>
  <c r="E431" i="3"/>
  <c r="D431" i="3"/>
  <c r="E430" i="3"/>
  <c r="D430" i="3"/>
  <c r="E429" i="3"/>
  <c r="D429" i="3"/>
  <c r="E428" i="3"/>
  <c r="D428" i="3"/>
  <c r="E427" i="3"/>
  <c r="D427" i="3"/>
  <c r="E426" i="3"/>
  <c r="D426" i="3"/>
  <c r="E425" i="3"/>
  <c r="D425" i="3"/>
  <c r="E424" i="3"/>
  <c r="D424" i="3"/>
  <c r="E423" i="3"/>
  <c r="D423" i="3"/>
  <c r="E422" i="3"/>
  <c r="D422" i="3"/>
  <c r="E421" i="3"/>
  <c r="D421" i="3"/>
  <c r="E420" i="3"/>
  <c r="D420" i="3"/>
  <c r="E419" i="3"/>
  <c r="D419" i="3"/>
  <c r="E418" i="3"/>
  <c r="D418" i="3"/>
  <c r="E417" i="3"/>
  <c r="D417" i="3"/>
  <c r="E416" i="3"/>
  <c r="D416" i="3"/>
  <c r="E415" i="3"/>
  <c r="D415" i="3"/>
  <c r="E414" i="3"/>
  <c r="D414" i="3"/>
  <c r="E413" i="3"/>
  <c r="D413" i="3"/>
  <c r="E412" i="3"/>
  <c r="D412" i="3"/>
  <c r="E411" i="3"/>
  <c r="D411" i="3"/>
  <c r="E410" i="3"/>
  <c r="D410" i="3"/>
  <c r="E409" i="3"/>
  <c r="D409" i="3"/>
  <c r="E408" i="3"/>
  <c r="D408" i="3"/>
  <c r="E407" i="3"/>
  <c r="D407" i="3"/>
  <c r="E406" i="3"/>
  <c r="D406" i="3"/>
  <c r="E405" i="3"/>
  <c r="D405" i="3"/>
  <c r="E404" i="3"/>
  <c r="D404" i="3"/>
  <c r="E403" i="3"/>
  <c r="D403" i="3"/>
  <c r="E402" i="3"/>
  <c r="D402" i="3"/>
  <c r="E401" i="3"/>
  <c r="D401" i="3"/>
  <c r="E400" i="3"/>
  <c r="D400" i="3"/>
  <c r="E399" i="3"/>
  <c r="D399" i="3"/>
  <c r="E398" i="3"/>
  <c r="D398" i="3"/>
  <c r="E397" i="3"/>
  <c r="D397" i="3"/>
  <c r="E396" i="3"/>
  <c r="D396" i="3"/>
  <c r="E395" i="3"/>
  <c r="D395" i="3"/>
  <c r="E394" i="3"/>
  <c r="D394" i="3"/>
  <c r="E393" i="3"/>
  <c r="D393" i="3"/>
  <c r="E392" i="3"/>
  <c r="D392" i="3"/>
  <c r="E391" i="3"/>
  <c r="D391" i="3"/>
  <c r="E390" i="3"/>
  <c r="D390" i="3"/>
  <c r="E389" i="3"/>
  <c r="D389" i="3"/>
  <c r="E388" i="3"/>
  <c r="D388" i="3"/>
  <c r="E387" i="3"/>
  <c r="D387" i="3"/>
  <c r="E386" i="3"/>
  <c r="D386" i="3"/>
  <c r="E385" i="3"/>
  <c r="D385" i="3"/>
  <c r="E384" i="3"/>
  <c r="D384" i="3"/>
  <c r="E383" i="3"/>
  <c r="D383" i="3"/>
  <c r="E382" i="3"/>
  <c r="D382" i="3"/>
  <c r="E381" i="3"/>
  <c r="D381" i="3"/>
  <c r="E380" i="3"/>
  <c r="D380" i="3"/>
  <c r="E379" i="3"/>
  <c r="D379" i="3"/>
  <c r="E378" i="3"/>
  <c r="D378" i="3"/>
  <c r="E377" i="3"/>
  <c r="D377" i="3"/>
  <c r="E376" i="3"/>
  <c r="D376" i="3"/>
  <c r="E375" i="3"/>
  <c r="D375" i="3"/>
  <c r="E374" i="3"/>
  <c r="D374" i="3"/>
  <c r="E373" i="3"/>
  <c r="D373" i="3"/>
  <c r="E372" i="3"/>
  <c r="D372" i="3"/>
  <c r="E371" i="3"/>
  <c r="D371" i="3"/>
  <c r="E370" i="3"/>
  <c r="D370" i="3"/>
  <c r="E369" i="3"/>
  <c r="D369" i="3"/>
  <c r="E368" i="3"/>
  <c r="D368" i="3"/>
  <c r="E367" i="3"/>
  <c r="D367" i="3"/>
  <c r="E366" i="3"/>
  <c r="D366" i="3"/>
  <c r="E365" i="3"/>
  <c r="D365" i="3"/>
  <c r="E364" i="3"/>
  <c r="D364" i="3"/>
  <c r="E363" i="3"/>
  <c r="D363" i="3"/>
  <c r="E362" i="3"/>
  <c r="D362" i="3"/>
  <c r="E361" i="3"/>
  <c r="D361" i="3"/>
  <c r="E360" i="3"/>
  <c r="D360" i="3"/>
  <c r="E359" i="3"/>
  <c r="D359" i="3"/>
  <c r="E358" i="3"/>
  <c r="D358" i="3"/>
  <c r="E357" i="3"/>
  <c r="D357" i="3"/>
  <c r="E356" i="3"/>
  <c r="D356" i="3"/>
  <c r="E355" i="3"/>
  <c r="D355" i="3"/>
  <c r="E354" i="3"/>
  <c r="D354" i="3"/>
  <c r="E353" i="3"/>
  <c r="D353" i="3"/>
  <c r="E352" i="3"/>
  <c r="D352" i="3"/>
  <c r="E351" i="3"/>
  <c r="D351" i="3"/>
  <c r="E350" i="3"/>
  <c r="D350" i="3"/>
  <c r="E349" i="3"/>
  <c r="D349" i="3"/>
  <c r="E348" i="3"/>
  <c r="D348" i="3"/>
  <c r="E347" i="3"/>
  <c r="D347" i="3"/>
  <c r="E346" i="3"/>
  <c r="D346" i="3"/>
  <c r="E345" i="3"/>
  <c r="D345" i="3"/>
  <c r="E344" i="3"/>
  <c r="D344" i="3"/>
  <c r="E343" i="3"/>
  <c r="D343" i="3"/>
  <c r="E342" i="3"/>
  <c r="D342" i="3"/>
  <c r="E341" i="3"/>
  <c r="D341" i="3"/>
  <c r="E340" i="3"/>
  <c r="D340" i="3"/>
  <c r="E339" i="3"/>
  <c r="D339" i="3"/>
  <c r="E338" i="3"/>
  <c r="D338" i="3"/>
  <c r="E337" i="3"/>
  <c r="D337" i="3"/>
  <c r="E336" i="3"/>
  <c r="D336" i="3"/>
  <c r="E335" i="3"/>
  <c r="D335" i="3"/>
  <c r="E334" i="3"/>
  <c r="D334" i="3"/>
  <c r="E333" i="3"/>
  <c r="D333" i="3"/>
  <c r="E332" i="3"/>
  <c r="D332" i="3"/>
  <c r="E331" i="3"/>
  <c r="D331" i="3"/>
  <c r="E330" i="3"/>
  <c r="D330" i="3"/>
  <c r="E329" i="3"/>
  <c r="D329" i="3"/>
  <c r="E328" i="3"/>
  <c r="D328" i="3"/>
  <c r="E327" i="3"/>
  <c r="D327" i="3"/>
  <c r="E326" i="3"/>
  <c r="D326" i="3"/>
  <c r="E325" i="3"/>
  <c r="D325" i="3"/>
  <c r="E324" i="3"/>
  <c r="D324" i="3"/>
  <c r="E323" i="3"/>
  <c r="D323" i="3"/>
  <c r="E322" i="3"/>
  <c r="D322" i="3"/>
  <c r="E321" i="3"/>
  <c r="D321" i="3"/>
  <c r="E320" i="3"/>
  <c r="D320" i="3"/>
  <c r="E319" i="3"/>
  <c r="D319" i="3"/>
  <c r="E318" i="3"/>
  <c r="D318" i="3"/>
  <c r="E317" i="3"/>
  <c r="D317" i="3"/>
  <c r="E316" i="3"/>
  <c r="D316" i="3"/>
  <c r="E315" i="3"/>
  <c r="D315" i="3"/>
  <c r="E314" i="3"/>
  <c r="D314" i="3"/>
  <c r="E313" i="3"/>
  <c r="D313" i="3"/>
  <c r="E312" i="3"/>
  <c r="D312" i="3"/>
  <c r="E311" i="3"/>
  <c r="D311" i="3"/>
  <c r="E310" i="3"/>
  <c r="D310" i="3"/>
  <c r="E309" i="3"/>
  <c r="D309" i="3"/>
  <c r="E308" i="3"/>
  <c r="D308" i="3"/>
  <c r="E307" i="3"/>
  <c r="D307" i="3"/>
  <c r="E306" i="3"/>
  <c r="D306" i="3"/>
  <c r="E305" i="3"/>
  <c r="D305" i="3"/>
  <c r="E304" i="3"/>
  <c r="D304" i="3"/>
  <c r="E303" i="3"/>
  <c r="D303" i="3"/>
  <c r="E302" i="3"/>
  <c r="D302" i="3"/>
  <c r="E301" i="3"/>
  <c r="D301" i="3"/>
  <c r="E300" i="3"/>
  <c r="D300" i="3"/>
  <c r="E299" i="3"/>
  <c r="D299" i="3"/>
  <c r="E298" i="3"/>
  <c r="D298" i="3"/>
  <c r="E297" i="3"/>
  <c r="D297" i="3"/>
  <c r="E296" i="3"/>
  <c r="D296" i="3"/>
  <c r="E295" i="3"/>
  <c r="D295" i="3"/>
  <c r="E294" i="3"/>
  <c r="D294" i="3"/>
  <c r="E293" i="3"/>
  <c r="D293" i="3"/>
  <c r="E292" i="3"/>
  <c r="D292" i="3"/>
  <c r="E291" i="3"/>
  <c r="D291" i="3"/>
  <c r="E290" i="3"/>
  <c r="D290" i="3"/>
  <c r="E289" i="3"/>
  <c r="D289" i="3"/>
  <c r="E288" i="3"/>
  <c r="D288" i="3"/>
  <c r="E287" i="3"/>
  <c r="D287" i="3"/>
  <c r="E286" i="3"/>
  <c r="D286" i="3"/>
  <c r="E285" i="3"/>
  <c r="D285" i="3"/>
  <c r="E284" i="3"/>
  <c r="D284" i="3"/>
  <c r="E283" i="3"/>
  <c r="D283" i="3"/>
  <c r="E282" i="3"/>
  <c r="D282" i="3"/>
  <c r="E281" i="3"/>
  <c r="D281" i="3"/>
  <c r="E280" i="3"/>
  <c r="D280" i="3"/>
  <c r="E279" i="3"/>
  <c r="D279" i="3"/>
  <c r="E278" i="3"/>
  <c r="D278" i="3"/>
  <c r="E277" i="3"/>
  <c r="D277" i="3"/>
  <c r="E276" i="3"/>
  <c r="D276" i="3"/>
  <c r="E275" i="3"/>
  <c r="D275" i="3"/>
  <c r="E274" i="3"/>
  <c r="D274" i="3"/>
  <c r="E273" i="3"/>
  <c r="D273" i="3"/>
  <c r="E272" i="3"/>
  <c r="D272" i="3"/>
  <c r="E271" i="3"/>
  <c r="D271" i="3"/>
  <c r="E270" i="3"/>
  <c r="D270" i="3"/>
  <c r="E269" i="3"/>
  <c r="D269" i="3"/>
  <c r="E268" i="3"/>
  <c r="D268" i="3"/>
  <c r="E267" i="3"/>
  <c r="D267" i="3"/>
  <c r="E266" i="3"/>
  <c r="D266" i="3"/>
  <c r="E265" i="3"/>
  <c r="D265" i="3"/>
  <c r="E264" i="3"/>
  <c r="D264" i="3"/>
  <c r="E263" i="3"/>
  <c r="D263" i="3"/>
  <c r="E262" i="3"/>
  <c r="D262" i="3"/>
  <c r="E261" i="3"/>
  <c r="D261" i="3"/>
  <c r="E260" i="3"/>
  <c r="D260" i="3"/>
  <c r="E259" i="3"/>
  <c r="D259" i="3"/>
  <c r="E258" i="3"/>
  <c r="D258" i="3"/>
  <c r="E257" i="3"/>
  <c r="D257" i="3"/>
  <c r="E256" i="3"/>
  <c r="D256" i="3"/>
  <c r="E255" i="3"/>
  <c r="D255" i="3"/>
  <c r="E254" i="3"/>
  <c r="D254" i="3"/>
  <c r="E253" i="3"/>
  <c r="D253" i="3"/>
  <c r="E252" i="3"/>
  <c r="D252" i="3"/>
  <c r="E251" i="3"/>
  <c r="D251" i="3"/>
  <c r="E250" i="3"/>
  <c r="D250" i="3"/>
  <c r="E249" i="3"/>
  <c r="D249" i="3"/>
  <c r="E248" i="3"/>
  <c r="D248" i="3"/>
  <c r="E247" i="3"/>
  <c r="D247" i="3"/>
  <c r="E246" i="3"/>
  <c r="D246" i="3"/>
  <c r="E245" i="3"/>
  <c r="D245" i="3"/>
  <c r="E244" i="3"/>
  <c r="D244" i="3"/>
  <c r="E243" i="3"/>
  <c r="D243" i="3"/>
  <c r="E242" i="3"/>
  <c r="D242" i="3"/>
  <c r="E241" i="3"/>
  <c r="D241" i="3"/>
  <c r="E240" i="3"/>
  <c r="D240" i="3"/>
  <c r="E239" i="3"/>
  <c r="D239" i="3"/>
  <c r="E238" i="3"/>
  <c r="D238" i="3"/>
  <c r="E237" i="3"/>
  <c r="D237" i="3"/>
  <c r="E236" i="3"/>
  <c r="D236" i="3"/>
  <c r="E235" i="3"/>
  <c r="D235" i="3"/>
  <c r="E234" i="3"/>
  <c r="D234" i="3"/>
  <c r="E233" i="3"/>
  <c r="D233" i="3"/>
  <c r="E232" i="3"/>
  <c r="D232" i="3"/>
  <c r="E231" i="3"/>
  <c r="D231" i="3"/>
  <c r="E230" i="3"/>
  <c r="D230" i="3"/>
  <c r="E229" i="3"/>
  <c r="D229" i="3"/>
  <c r="E228" i="3"/>
  <c r="D228" i="3"/>
  <c r="E227" i="3"/>
  <c r="D227" i="3"/>
  <c r="E226" i="3"/>
  <c r="D226" i="3"/>
  <c r="E225" i="3"/>
  <c r="D225" i="3"/>
  <c r="E224" i="3"/>
  <c r="D224" i="3"/>
  <c r="E223" i="3"/>
  <c r="D223" i="3"/>
  <c r="E222" i="3"/>
  <c r="D222" i="3"/>
  <c r="E221" i="3"/>
  <c r="D221" i="3"/>
  <c r="E220" i="3"/>
  <c r="D220" i="3"/>
  <c r="E219" i="3"/>
  <c r="D219" i="3"/>
  <c r="E218" i="3"/>
  <c r="D218" i="3"/>
  <c r="E217" i="3"/>
  <c r="D217" i="3"/>
  <c r="E216" i="3"/>
  <c r="D216" i="3"/>
  <c r="E215" i="3"/>
  <c r="D215" i="3"/>
  <c r="E214" i="3"/>
  <c r="D214" i="3"/>
  <c r="E213" i="3"/>
  <c r="D213" i="3"/>
  <c r="E212" i="3"/>
  <c r="D212" i="3"/>
  <c r="E211" i="3"/>
  <c r="D211" i="3"/>
  <c r="E210" i="3"/>
  <c r="D210" i="3"/>
  <c r="E209" i="3"/>
  <c r="D209" i="3"/>
  <c r="E208" i="3"/>
  <c r="D208" i="3"/>
  <c r="E207" i="3"/>
  <c r="D207" i="3"/>
  <c r="E206" i="3"/>
  <c r="D206" i="3"/>
  <c r="E205" i="3"/>
  <c r="D205" i="3"/>
  <c r="E204" i="3"/>
  <c r="D204" i="3"/>
  <c r="E203" i="3"/>
  <c r="D203" i="3"/>
  <c r="E202" i="3"/>
  <c r="D202" i="3"/>
  <c r="E201" i="3"/>
  <c r="D201" i="3"/>
  <c r="E200" i="3"/>
  <c r="D200" i="3"/>
  <c r="E199" i="3"/>
  <c r="D199" i="3"/>
  <c r="E198" i="3"/>
  <c r="D198" i="3"/>
  <c r="E197" i="3"/>
  <c r="D197" i="3"/>
  <c r="E196" i="3"/>
  <c r="D196" i="3"/>
  <c r="E195" i="3"/>
  <c r="D195" i="3"/>
  <c r="E194" i="3"/>
  <c r="D194" i="3"/>
  <c r="E193" i="3"/>
  <c r="D193" i="3"/>
  <c r="E192" i="3"/>
  <c r="D192" i="3"/>
  <c r="E191" i="3"/>
  <c r="D191" i="3"/>
  <c r="E190" i="3"/>
  <c r="D190" i="3"/>
  <c r="E189" i="3"/>
  <c r="D189" i="3"/>
  <c r="E188" i="3"/>
  <c r="D188" i="3"/>
  <c r="E187" i="3"/>
  <c r="D187" i="3"/>
  <c r="E186" i="3"/>
  <c r="D186" i="3"/>
  <c r="E185" i="3"/>
  <c r="D185" i="3"/>
  <c r="E184" i="3"/>
  <c r="D184" i="3"/>
  <c r="E183" i="3"/>
  <c r="D183" i="3"/>
  <c r="E182" i="3"/>
  <c r="D182" i="3"/>
  <c r="E181" i="3"/>
  <c r="D181" i="3"/>
  <c r="E180" i="3"/>
  <c r="D180" i="3"/>
  <c r="E179" i="3"/>
  <c r="D179" i="3"/>
  <c r="E178" i="3"/>
  <c r="D178" i="3"/>
  <c r="E177" i="3"/>
  <c r="D177" i="3"/>
  <c r="E176" i="3"/>
  <c r="D176" i="3"/>
  <c r="E175" i="3"/>
  <c r="D175" i="3"/>
  <c r="E174" i="3"/>
  <c r="D174" i="3"/>
  <c r="E173" i="3"/>
  <c r="D173" i="3"/>
  <c r="E172" i="3"/>
  <c r="D172" i="3"/>
  <c r="E171" i="3"/>
  <c r="D171" i="3"/>
  <c r="E170" i="3"/>
  <c r="D170" i="3"/>
  <c r="E169" i="3"/>
  <c r="D169" i="3"/>
  <c r="E168" i="3"/>
  <c r="D168" i="3"/>
  <c r="E167" i="3"/>
  <c r="D167" i="3"/>
  <c r="E166" i="3"/>
  <c r="D166" i="3"/>
  <c r="E165" i="3"/>
  <c r="D165" i="3"/>
  <c r="E164" i="3"/>
  <c r="D164" i="3"/>
  <c r="E163" i="3"/>
  <c r="D163" i="3"/>
  <c r="E162" i="3"/>
  <c r="D162" i="3"/>
  <c r="E161" i="3"/>
  <c r="D161" i="3"/>
  <c r="E160" i="3"/>
  <c r="D160" i="3"/>
  <c r="E159" i="3"/>
  <c r="D159" i="3"/>
  <c r="E158" i="3"/>
  <c r="D158" i="3"/>
  <c r="E157" i="3"/>
  <c r="D157" i="3"/>
  <c r="E156" i="3"/>
  <c r="D156" i="3"/>
  <c r="E155" i="3"/>
  <c r="D155" i="3"/>
  <c r="E154" i="3"/>
  <c r="D154" i="3"/>
  <c r="E153" i="3"/>
  <c r="D153" i="3"/>
  <c r="E152" i="3"/>
  <c r="D152" i="3"/>
  <c r="E151" i="3"/>
  <c r="D151" i="3"/>
  <c r="E150" i="3"/>
  <c r="D150" i="3"/>
  <c r="E149" i="3"/>
  <c r="D149" i="3"/>
  <c r="E148" i="3"/>
  <c r="D148" i="3"/>
  <c r="E147" i="3"/>
  <c r="D147" i="3"/>
  <c r="E146" i="3"/>
  <c r="D146" i="3"/>
  <c r="E145" i="3"/>
  <c r="D145" i="3"/>
  <c r="E144" i="3"/>
  <c r="D144" i="3"/>
  <c r="E143" i="3"/>
  <c r="D143" i="3"/>
  <c r="E142" i="3"/>
  <c r="D142" i="3"/>
  <c r="E141" i="3"/>
  <c r="D141" i="3"/>
  <c r="E140" i="3"/>
  <c r="D140" i="3"/>
  <c r="E139" i="3"/>
  <c r="D139" i="3"/>
  <c r="E138" i="3"/>
  <c r="D138" i="3"/>
  <c r="E137" i="3"/>
  <c r="D137" i="3"/>
  <c r="E136" i="3"/>
  <c r="D136" i="3"/>
  <c r="E135" i="3"/>
  <c r="D135" i="3"/>
  <c r="E134" i="3"/>
  <c r="D134" i="3"/>
  <c r="E133" i="3"/>
  <c r="D133" i="3"/>
  <c r="E132" i="3"/>
  <c r="D132" i="3"/>
  <c r="E131" i="3"/>
  <c r="D131" i="3"/>
  <c r="E130" i="3"/>
  <c r="D130" i="3"/>
  <c r="E129" i="3"/>
  <c r="D129" i="3"/>
  <c r="E128" i="3"/>
  <c r="D128" i="3"/>
  <c r="E127" i="3"/>
  <c r="D127" i="3"/>
  <c r="E126" i="3"/>
  <c r="D126" i="3"/>
  <c r="E125" i="3"/>
  <c r="D125" i="3"/>
  <c r="E124" i="3"/>
  <c r="D124" i="3"/>
  <c r="E123" i="3"/>
  <c r="D123" i="3"/>
  <c r="E122" i="3"/>
  <c r="D122" i="3"/>
  <c r="E121" i="3"/>
  <c r="D121" i="3"/>
  <c r="E120" i="3"/>
  <c r="D120" i="3"/>
  <c r="E119" i="3"/>
  <c r="D119" i="3"/>
  <c r="E118" i="3"/>
  <c r="D118" i="3"/>
  <c r="E117" i="3"/>
  <c r="D117" i="3"/>
  <c r="E116" i="3"/>
  <c r="D116" i="3"/>
  <c r="E115" i="3"/>
  <c r="D115" i="3"/>
  <c r="E114" i="3"/>
  <c r="D114" i="3"/>
  <c r="E113" i="3"/>
  <c r="D113" i="3"/>
  <c r="E112" i="3"/>
  <c r="D112" i="3"/>
  <c r="E111" i="3"/>
  <c r="D111" i="3"/>
  <c r="E110" i="3"/>
  <c r="D110" i="3"/>
  <c r="E109" i="3"/>
  <c r="D109" i="3"/>
  <c r="E108" i="3"/>
  <c r="D108" i="3"/>
  <c r="E107" i="3"/>
  <c r="D107" i="3"/>
  <c r="E106" i="3"/>
  <c r="D106" i="3"/>
  <c r="E105" i="3"/>
  <c r="D105" i="3"/>
  <c r="E104" i="3"/>
  <c r="D104" i="3"/>
  <c r="E103" i="3"/>
  <c r="D103" i="3"/>
  <c r="E102" i="3"/>
  <c r="D102" i="3"/>
  <c r="E101" i="3"/>
  <c r="D101" i="3"/>
  <c r="E100" i="3"/>
  <c r="D100" i="3"/>
  <c r="E99" i="3"/>
  <c r="D99" i="3"/>
  <c r="E98" i="3"/>
  <c r="D98" i="3"/>
  <c r="E97" i="3"/>
  <c r="D97" i="3"/>
  <c r="E96" i="3"/>
  <c r="D96" i="3"/>
  <c r="E95" i="3"/>
  <c r="D95" i="3"/>
  <c r="E94" i="3"/>
  <c r="D94" i="3"/>
  <c r="E93" i="3"/>
  <c r="D93" i="3"/>
  <c r="E92" i="3"/>
  <c r="D92" i="3"/>
  <c r="E91" i="3"/>
  <c r="D91" i="3"/>
  <c r="E90" i="3"/>
  <c r="D90" i="3"/>
  <c r="E89" i="3"/>
  <c r="D89" i="3"/>
  <c r="E88" i="3"/>
  <c r="D88" i="3"/>
  <c r="E87" i="3"/>
  <c r="D87" i="3"/>
  <c r="E86" i="3"/>
  <c r="D86" i="3"/>
  <c r="E85" i="3"/>
  <c r="D85" i="3"/>
  <c r="E84" i="3"/>
  <c r="D84" i="3"/>
  <c r="E83" i="3"/>
  <c r="D83" i="3"/>
  <c r="E82" i="3"/>
  <c r="D82" i="3"/>
  <c r="E81" i="3"/>
  <c r="D81" i="3"/>
  <c r="E80" i="3"/>
  <c r="D80" i="3"/>
  <c r="E79" i="3"/>
  <c r="D79" i="3"/>
  <c r="E78" i="3"/>
  <c r="D78" i="3"/>
  <c r="E77" i="3"/>
  <c r="D77" i="3"/>
  <c r="E76" i="3"/>
  <c r="D76" i="3"/>
  <c r="E75" i="3"/>
  <c r="D75" i="3"/>
  <c r="E74" i="3"/>
  <c r="D74" i="3"/>
  <c r="E73" i="3"/>
  <c r="D73" i="3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4" i="3"/>
  <c r="D4" i="3"/>
  <c r="E3" i="3"/>
  <c r="D3" i="3"/>
  <c r="E2" i="3"/>
  <c r="D2" i="3"/>
</calcChain>
</file>

<file path=xl/sharedStrings.xml><?xml version="1.0" encoding="utf-8"?>
<sst xmlns="http://schemas.openxmlformats.org/spreadsheetml/2006/main" count="2398" uniqueCount="1380">
  <si>
    <t>Tárgy</t>
  </si>
  <si>
    <t>Tárgy nept</t>
  </si>
  <si>
    <t>VIAUD061</t>
  </si>
  <si>
    <t>Diplomatervezés 1 (MSc, Info, 2022-ig felvettek)</t>
  </si>
  <si>
    <t>VIAUMT00</t>
  </si>
  <si>
    <t>Diplomatervezés 1 (MSc, Info, 2023-tól felvettek)</t>
  </si>
  <si>
    <t>VIAUMT10</t>
  </si>
  <si>
    <t>Diplomatervezés 1 (MSc, Vill, 2022-ig felvettek)</t>
  </si>
  <si>
    <t>VIAUMT02</t>
  </si>
  <si>
    <t>Diplomatervezés 1 (MSc, Vill, 2023-tól felvettek)</t>
  </si>
  <si>
    <t>VIAUMT12</t>
  </si>
  <si>
    <t>Diplomatervezés 2 (MSc, Info, 2023-tól felvettek)</t>
  </si>
  <si>
    <t>VIAUMT11</t>
  </si>
  <si>
    <t>Diplomatervezés 2 (MSc, Vill, 2022-ig felvettek)</t>
  </si>
  <si>
    <t>VIAUMT03</t>
  </si>
  <si>
    <t>Diplomatervezés 2 (MSc, Vill, 2023-tól felvettek)</t>
  </si>
  <si>
    <t>VIAUMT13</t>
  </si>
  <si>
    <t>Diplomatervezés A</t>
  </si>
  <si>
    <t>VIAUM026</t>
  </si>
  <si>
    <t>Diplomatervezés B</t>
  </si>
  <si>
    <t>VIAUM027</t>
  </si>
  <si>
    <t>VIAU9K18</t>
  </si>
  <si>
    <t>Önálló laboratórium (BSc, Info, 2021-ig felvettek)</t>
  </si>
  <si>
    <t>VIAUAL01</t>
  </si>
  <si>
    <t>Önálló laboratórium (BSc, Info, 2022-től felvettek)</t>
  </si>
  <si>
    <t>VIAUAL04</t>
  </si>
  <si>
    <t>Önálló laboratórium (BSc, Vill, 2021-ig felvettek)</t>
  </si>
  <si>
    <t>VIAUAL03</t>
  </si>
  <si>
    <t>Önálló laboratórium 1 (MSc, Info, 2023-tól felvettek)</t>
  </si>
  <si>
    <t>VIAUML10</t>
  </si>
  <si>
    <t>Önálló laboratórium 1 (MSc, Vill, 2022-ig felvettek)</t>
  </si>
  <si>
    <t>VIAUML02</t>
  </si>
  <si>
    <t>Önálló laboratórium 1 (MSc, Vill, 2023-tól felvettek)</t>
  </si>
  <si>
    <t>VIAUML12</t>
  </si>
  <si>
    <t>Önálló laboratórium 2 (MSc, Info, 2023-tól felvettek)</t>
  </si>
  <si>
    <t>VIAUML11</t>
  </si>
  <si>
    <t>Önálló laboratórium 2 (MSc, Vill, 2023-tól felvettek)</t>
  </si>
  <si>
    <t>VIAUML13</t>
  </si>
  <si>
    <t>Projektfeladat mechatronikusoknak</t>
  </si>
  <si>
    <t>VIAUM039</t>
  </si>
  <si>
    <t>Szakdolgozat készítés</t>
  </si>
  <si>
    <t>VIAUA019</t>
  </si>
  <si>
    <t>Szakdolgozat készítés (BSc Vill 2022-től felvettk)</t>
  </si>
  <si>
    <t>VIAUAT03</t>
  </si>
  <si>
    <t>Szakdolgozat készítés (BSc Vill, 2021-ig felvettek)</t>
  </si>
  <si>
    <t>VIAUAT01</t>
  </si>
  <si>
    <t>Szakdolgozat-készítés (BSc Info, 2021-ig felvettek)</t>
  </si>
  <si>
    <t>VIAUAT00</t>
  </si>
  <si>
    <t>Szakdolgozat-készítés (BSc Info, 2022-től felvettek)</t>
  </si>
  <si>
    <t>VIAUAT02</t>
  </si>
  <si>
    <t>Dolgozat megnevezése</t>
  </si>
  <si>
    <t>Szak megnevezése</t>
  </si>
  <si>
    <t>Mérnökinformatikus</t>
  </si>
  <si>
    <t>Villamosmérnök</t>
  </si>
  <si>
    <t>Mechatronikai mérnök</t>
  </si>
  <si>
    <t>Szakdolgozat</t>
  </si>
  <si>
    <t>Diplomatervezési</t>
  </si>
  <si>
    <t>Neptun kód</t>
  </si>
  <si>
    <t>Hallgató neve</t>
  </si>
  <si>
    <t>Tárgykód</t>
  </si>
  <si>
    <t>Konzulens neve</t>
  </si>
  <si>
    <t>Konzulens beosztása</t>
  </si>
  <si>
    <t>Feladatkiírás fájlnév</t>
  </si>
  <si>
    <t>Szinyéri Bence</t>
  </si>
  <si>
    <t>LAZPCB</t>
  </si>
  <si>
    <t>kiirasok/SZINYERI_BENCE.docx</t>
  </si>
  <si>
    <t>Szvétek-Müller András Zsolt</t>
  </si>
  <si>
    <t>JNDSHB</t>
  </si>
  <si>
    <t>kiirasok/SZVETEK_MULLER_ANDRAS_ZSOLT.docx</t>
  </si>
  <si>
    <t>Németh Gergő Olivér</t>
  </si>
  <si>
    <t>PIBK75</t>
  </si>
  <si>
    <t>kiirasok/NEMETH_GERGO_OLIVER.docx</t>
  </si>
  <si>
    <t>Vajda András</t>
  </si>
  <si>
    <t>M7LWCB</t>
  </si>
  <si>
    <t>kiirasok/VAJDA_ANDRAS.docx</t>
  </si>
  <si>
    <t>Sitkéry Iván</t>
  </si>
  <si>
    <t>B8V41Y</t>
  </si>
  <si>
    <t>kiirasok/SITKERY_IVAN.docx</t>
  </si>
  <si>
    <t>Balla Péter Keve</t>
  </si>
  <si>
    <t>BE1L51</t>
  </si>
  <si>
    <t>kiirasok/BALLA_PETER_KEVE.docx</t>
  </si>
  <si>
    <t>Wáger Réka</t>
  </si>
  <si>
    <t>CGUOR8</t>
  </si>
  <si>
    <t>kiirasok/WAGER_REKA.docx</t>
  </si>
  <si>
    <t>Dhouioui Oussama</t>
  </si>
  <si>
    <t>XFCBM7</t>
  </si>
  <si>
    <t>kiirasok/DHOUIOUI_OUSSAMA.docx</t>
  </si>
  <si>
    <t>Mohammed Rasti Jamal Mohammed</t>
  </si>
  <si>
    <t>BDJV6G</t>
  </si>
  <si>
    <t>kiirasok/MOHAMMED_RASTI_JAMAL_MOHAMMED.docx</t>
  </si>
  <si>
    <t>Kovács Virág Noémi</t>
  </si>
  <si>
    <t>J178IN</t>
  </si>
  <si>
    <t>kiirasok/KOVACS_VIRAG_NOEMI.docx</t>
  </si>
  <si>
    <t>Steltzer Soma</t>
  </si>
  <si>
    <t>Y2K0WG</t>
  </si>
  <si>
    <t>kiirasok/STELTZER_SOMA.docx</t>
  </si>
  <si>
    <t>Barna Ferenc</t>
  </si>
  <si>
    <t>Y98NYK</t>
  </si>
  <si>
    <t>kiirasok/BARNA_FERENC.docx</t>
  </si>
  <si>
    <t>Csikós Patrik</t>
  </si>
  <si>
    <t>E4MZUV</t>
  </si>
  <si>
    <t>kiirasok/CSIKOS_PATRIK.docx</t>
  </si>
  <si>
    <t>Wohlfart Richárd</t>
  </si>
  <si>
    <t>E06LFG</t>
  </si>
  <si>
    <t>kiirasok/WOHLFART_RICHARD.docx</t>
  </si>
  <si>
    <t>Sziklai Dávid László</t>
  </si>
  <si>
    <t>XH1H8E</t>
  </si>
  <si>
    <t>kiirasok/SZIKLAI_DAVID_LASZLO.docx</t>
  </si>
  <si>
    <t>Virág Gyula</t>
  </si>
  <si>
    <t>M25FGD</t>
  </si>
  <si>
    <t>kiirasok/VIRAG_GYULA.docx</t>
  </si>
  <si>
    <t>Erdei Dániel Patrik</t>
  </si>
  <si>
    <t>BAVX18</t>
  </si>
  <si>
    <t>kiirasok/ERDEI_DANIEL_PATRIK.docx</t>
  </si>
  <si>
    <t>Sipos Levente</t>
  </si>
  <si>
    <t>NLLIEC</t>
  </si>
  <si>
    <t>kiirasok/SIPOS_LEVENTE.docx</t>
  </si>
  <si>
    <t>Kókai Roland</t>
  </si>
  <si>
    <t>DTKJYT</t>
  </si>
  <si>
    <t>kiirasok/KOKAI_ROLAND.docx</t>
  </si>
  <si>
    <t>Hegedüs Péter</t>
  </si>
  <si>
    <t>V8DLF6</t>
  </si>
  <si>
    <t>kiirasok/HEGEDUS_PETER.docx</t>
  </si>
  <si>
    <t>Mészáros Krisztina</t>
  </si>
  <si>
    <t>NQC2BA</t>
  </si>
  <si>
    <t>kiirasok/MESZAROS_KRISZTINA.docx</t>
  </si>
  <si>
    <t>Steffler Máté</t>
  </si>
  <si>
    <t>U945X9</t>
  </si>
  <si>
    <t>kiirasok/STEFFLER_MATE.docx</t>
  </si>
  <si>
    <t>Szabó László</t>
  </si>
  <si>
    <t>ET9AUJ</t>
  </si>
  <si>
    <t>kiirasok/SZABO_LASZLO.docx</t>
  </si>
  <si>
    <t>Almoghrabi Makram Issam</t>
  </si>
  <si>
    <t>X3025D</t>
  </si>
  <si>
    <t>kiirasok/ALMOGHRABI_MAKRAM_ISSAM.docx</t>
  </si>
  <si>
    <t>Forgó Frigyes</t>
  </si>
  <si>
    <t>CCV5YH</t>
  </si>
  <si>
    <t>kiirasok/FORGO_FRIGYES.docx</t>
  </si>
  <si>
    <t>Sas Bence</t>
  </si>
  <si>
    <t>SQ6PNP</t>
  </si>
  <si>
    <t>kiirasok/SAS_BENCE.docx</t>
  </si>
  <si>
    <t>Pete Dávid Dorián</t>
  </si>
  <si>
    <t>GVJ529</t>
  </si>
  <si>
    <t>kiirasok/PETE_DAVID_DORIAN.docx</t>
  </si>
  <si>
    <t>Nagy Katalin</t>
  </si>
  <si>
    <t>QPRZAG</t>
  </si>
  <si>
    <t>kiirasok/NAGY_KATALIN.docx</t>
  </si>
  <si>
    <t>Bolvári Attila</t>
  </si>
  <si>
    <t>X0BDX8</t>
  </si>
  <si>
    <t>kiirasok/BOLVARI_ATTILA.docx</t>
  </si>
  <si>
    <t>Kovács Róbert István</t>
  </si>
  <si>
    <t>RB3C44</t>
  </si>
  <si>
    <t>kiirasok/KOVACS_ROBERT_ISTVAN.docx</t>
  </si>
  <si>
    <t>Tabajdi Máté</t>
  </si>
  <si>
    <t>JZX5Y4</t>
  </si>
  <si>
    <t>kiirasok/TABAJDI_MATE.docx</t>
  </si>
  <si>
    <t>Blága Bence</t>
  </si>
  <si>
    <t>FC6U8I</t>
  </si>
  <si>
    <t>kiirasok/BLAGA_BENCE.docx</t>
  </si>
  <si>
    <t>Hugyik Kornél</t>
  </si>
  <si>
    <t>A2QDYX</t>
  </si>
  <si>
    <t>kiirasok/HUGYIK_KORNEL.docx</t>
  </si>
  <si>
    <t>Pásztori Péter Benjámin</t>
  </si>
  <si>
    <t>L87LWY</t>
  </si>
  <si>
    <t>kiirasok/PASZTORI_PETER_BENJAMIN.docx</t>
  </si>
  <si>
    <t>Füstös Gergely</t>
  </si>
  <si>
    <t>HZNJM6</t>
  </si>
  <si>
    <t>kiirasok/FUSTOS_GERGELY.docx</t>
  </si>
  <si>
    <t>Gyóni Ákos Attila</t>
  </si>
  <si>
    <t>PKK65Q</t>
  </si>
  <si>
    <t>kiirasok/GYONI_AKOS_ATTILA.docx</t>
  </si>
  <si>
    <t>Hankóczi Gábor Miklós</t>
  </si>
  <si>
    <t>GIZVI5</t>
  </si>
  <si>
    <t>kiirasok/HANKOCZI_GABOR_MIKLOS.docx</t>
  </si>
  <si>
    <t>Lenkovics Ákos</t>
  </si>
  <si>
    <t>CDGJW9</t>
  </si>
  <si>
    <t>kiirasok/LENKOVICS_AKOS.docx</t>
  </si>
  <si>
    <t>Kovács Mátyás Örs</t>
  </si>
  <si>
    <t>CM5AP1</t>
  </si>
  <si>
    <t>kiirasok/KOVACS_MATYAS_ORS.docx</t>
  </si>
  <si>
    <t>Gyulai Gergő László</t>
  </si>
  <si>
    <t>JJY2VO</t>
  </si>
  <si>
    <t>kiirasok/GYULAI_GERGO_LASZLO.docx</t>
  </si>
  <si>
    <t>Nemes Axel Roland</t>
  </si>
  <si>
    <t>CK9G55</t>
  </si>
  <si>
    <t>kiirasok/NEMES_AXEL_ROLAND.docx</t>
  </si>
  <si>
    <t>Hérincs Bence Attila</t>
  </si>
  <si>
    <t>H9PB1F</t>
  </si>
  <si>
    <t>kiirasok/HERINCS_BENCE_ATTILA.docx</t>
  </si>
  <si>
    <t>Mikecz Gábor</t>
  </si>
  <si>
    <t>OHQ0HM</t>
  </si>
  <si>
    <t>kiirasok/MIKECZ_GABOR.docx</t>
  </si>
  <si>
    <t>Rumi Zoárd</t>
  </si>
  <si>
    <t>QWF9WO</t>
  </si>
  <si>
    <t>kiirasok/RUMI_ZOARD.docx</t>
  </si>
  <si>
    <t>Bugya Eszter</t>
  </si>
  <si>
    <t>EQT5K1</t>
  </si>
  <si>
    <t>kiirasok/BUGYA_ESZTER.docx</t>
  </si>
  <si>
    <t>Safár Gergő</t>
  </si>
  <si>
    <t>LM1ZJR</t>
  </si>
  <si>
    <t>kiirasok/SAFAR_GERGO.docx</t>
  </si>
  <si>
    <t>Barabás Martin</t>
  </si>
  <si>
    <t>PHIF7K</t>
  </si>
  <si>
    <t>kiirasok/BARABAS_MARTIN.docx</t>
  </si>
  <si>
    <t>Szüllő Péter</t>
  </si>
  <si>
    <t>BE9NZC</t>
  </si>
  <si>
    <t>kiirasok/SZULLO_PETER.docx</t>
  </si>
  <si>
    <t>Domonkos Ádám</t>
  </si>
  <si>
    <t>CWGYWC</t>
  </si>
  <si>
    <t>kiirasok/DOMONKOS_ADAM.docx</t>
  </si>
  <si>
    <t>Berente Bálint István</t>
  </si>
  <si>
    <t>LB8O75</t>
  </si>
  <si>
    <t>kiirasok/BERENTE_BALINT_ISTVAN.docx</t>
  </si>
  <si>
    <t>Szénási Krisztián</t>
  </si>
  <si>
    <t>XYD66R</t>
  </si>
  <si>
    <t>kiirasok/SZENASI_KRISZTIAN.docx</t>
  </si>
  <si>
    <t>Galatean Marcell</t>
  </si>
  <si>
    <t>CWCCUY</t>
  </si>
  <si>
    <t>kiirasok/GALATEAN_MARCELL.docx</t>
  </si>
  <si>
    <t>Varga Ádám Marcell</t>
  </si>
  <si>
    <t>E22H8P</t>
  </si>
  <si>
    <t>kiirasok/VARGA_ADAM_MARCELL.docx</t>
  </si>
  <si>
    <t>Hanich Péter</t>
  </si>
  <si>
    <t>A1FVB8</t>
  </si>
  <si>
    <t>kiirasok/HANICH_PETER.docx</t>
  </si>
  <si>
    <t>Mészáros László</t>
  </si>
  <si>
    <t>Q4KPC5</t>
  </si>
  <si>
    <t>kiirasok/MESZAROS_LASZLO.docx</t>
  </si>
  <si>
    <t>Dancsó Marcell</t>
  </si>
  <si>
    <t>AZTVS7</t>
  </si>
  <si>
    <t>kiirasok/DANCSO_MARCELL.docx</t>
  </si>
  <si>
    <t>Molnár Levente</t>
  </si>
  <si>
    <t>JGWFM2</t>
  </si>
  <si>
    <t>kiirasok/MOLNAR_LEVENTE.docx</t>
  </si>
  <si>
    <t>Biró Bence</t>
  </si>
  <si>
    <t>SM5P0J</t>
  </si>
  <si>
    <t>kiirasok/BIRO_BENCE.docx</t>
  </si>
  <si>
    <t>Ferge Máté Lajos</t>
  </si>
  <si>
    <t>P2H0P0</t>
  </si>
  <si>
    <t>kiirasok/FERGE_MATE_LAJOS.docx</t>
  </si>
  <si>
    <t>Richly Bálint Gábor</t>
  </si>
  <si>
    <t>YO685Y</t>
  </si>
  <si>
    <t>kiirasok/RICHLY_BALINT_GABOR.docx</t>
  </si>
  <si>
    <t>Jeges Gábor</t>
  </si>
  <si>
    <t>JCIRJL</t>
  </si>
  <si>
    <t>kiirasok/JEGES_GABOR.docx</t>
  </si>
  <si>
    <t>Musa Abdullah</t>
  </si>
  <si>
    <t>MA3424</t>
  </si>
  <si>
    <t>kiirasok/MUSA_ABDULLAH.docx</t>
  </si>
  <si>
    <t>Le Ngoc Thai</t>
  </si>
  <si>
    <t>P3850P</t>
  </si>
  <si>
    <t>kiirasok/LE_NGOC_THAI.docx</t>
  </si>
  <si>
    <t>Fosztó-Bartha Ábel</t>
  </si>
  <si>
    <t>Z0EAAP</t>
  </si>
  <si>
    <t>kiirasok/FOSZTO_BARTHA_ABEL.docx</t>
  </si>
  <si>
    <t>Szeifert Cintia</t>
  </si>
  <si>
    <t>NC2UM0</t>
  </si>
  <si>
    <t>kiirasok/SZEIFERT_CINTIA.docx</t>
  </si>
  <si>
    <t>Iványi Balázs</t>
  </si>
  <si>
    <t>OWM3QU</t>
  </si>
  <si>
    <t>kiirasok/IVANYI_BALAZS.docx</t>
  </si>
  <si>
    <t>Bárkányi Csaba</t>
  </si>
  <si>
    <t>BQI7QQ</t>
  </si>
  <si>
    <t>kiirasok/BARKANYI_CSABA.docx</t>
  </si>
  <si>
    <t>Galuska Zoltán Bálint</t>
  </si>
  <si>
    <t>KYQU46</t>
  </si>
  <si>
    <t>kiirasok/GALUSKA_ZOLTAN_BALINT.docx</t>
  </si>
  <si>
    <t>Vámosi József</t>
  </si>
  <si>
    <t>NPB8UM</t>
  </si>
  <si>
    <t>kiirasok/VAMOSI_JOZSEF.docx</t>
  </si>
  <si>
    <t>Novák Bálint Huba</t>
  </si>
  <si>
    <t>OHKFY9</t>
  </si>
  <si>
    <t>kiirasok/NOVAK_BALINT_HUBA.docx</t>
  </si>
  <si>
    <t>Bacskai Tamás</t>
  </si>
  <si>
    <t>VHUI74</t>
  </si>
  <si>
    <t>kiirasok/BACSKAI_TAMAS.docx</t>
  </si>
  <si>
    <t>Fischer Balázs</t>
  </si>
  <si>
    <t>D3MKVM</t>
  </si>
  <si>
    <t>kiirasok/FISCHER_BALAZS.docx</t>
  </si>
  <si>
    <t>Szigeti Ádám Péter</t>
  </si>
  <si>
    <t>IYTB57</t>
  </si>
  <si>
    <t>kiirasok/SZIGETI_ADAM_PETER.docx</t>
  </si>
  <si>
    <t>Tarcza Lídia</t>
  </si>
  <si>
    <t>QM5EA9</t>
  </si>
  <si>
    <t>kiirasok/TARCZA_LIDIA.docx</t>
  </si>
  <si>
    <t>Vendel János Patrik</t>
  </si>
  <si>
    <t>JIZTMY</t>
  </si>
  <si>
    <t>kiirasok/VENDEL_JANOS_PATRIK.docx</t>
  </si>
  <si>
    <t>Mihályi Péter</t>
  </si>
  <si>
    <t>Q40HYS</t>
  </si>
  <si>
    <t>kiirasok/MIHALYI_PETER.docx</t>
  </si>
  <si>
    <t>Szelle Csaba</t>
  </si>
  <si>
    <t>QK9MU4</t>
  </si>
  <si>
    <t>kiirasok/SZELLE_CSABA.docx</t>
  </si>
  <si>
    <t>Seregélyes Viktória</t>
  </si>
  <si>
    <t>OUK8CF</t>
  </si>
  <si>
    <t>kiirasok/SEREGELYES_VIKTORIA.docx</t>
  </si>
  <si>
    <t>Szurovcsák Ramóna</t>
  </si>
  <si>
    <t>N4BWZG</t>
  </si>
  <si>
    <t>kiirasok/SZUROVCSAK_RAMONA.docx</t>
  </si>
  <si>
    <t>Vörös Asztrik</t>
  </si>
  <si>
    <t>WYZJ90</t>
  </si>
  <si>
    <t>kiirasok/VOROS_ASZTRIK.docx</t>
  </si>
  <si>
    <t>Schmieder Nándor</t>
  </si>
  <si>
    <t>E9CLSH</t>
  </si>
  <si>
    <t>kiirasok/SCHMIEDER_NANDOR.docx</t>
  </si>
  <si>
    <t>Illés Ákos</t>
  </si>
  <si>
    <t>TK4K29</t>
  </si>
  <si>
    <t>kiirasok/ILLES_AKOS.docx</t>
  </si>
  <si>
    <t>Szigeti Donát</t>
  </si>
  <si>
    <t>NIIIIG</t>
  </si>
  <si>
    <t>kiirasok/SZIGETI_DONAT.docx</t>
  </si>
  <si>
    <t>Száraz Dániel</t>
  </si>
  <si>
    <t>GT5X34</t>
  </si>
  <si>
    <t>kiirasok/SZARAZ_DANIEL.docx</t>
  </si>
  <si>
    <t>Kovács Tibor</t>
  </si>
  <si>
    <t>BUH29U</t>
  </si>
  <si>
    <t>kiirasok/KOVACS_TIBOR.docx</t>
  </si>
  <si>
    <t>Motyovszki András</t>
  </si>
  <si>
    <t>UZ472Y</t>
  </si>
  <si>
    <t>kiirasok/MOTYOVSZKI_ANDRAS.docx</t>
  </si>
  <si>
    <t>Pósa Tamás Márton</t>
  </si>
  <si>
    <t>HMX7LV</t>
  </si>
  <si>
    <t>kiirasok/POSA_TAMAS_MARTON.docx</t>
  </si>
  <si>
    <t>Jósvai Máté</t>
  </si>
  <si>
    <t>GNTJWZ</t>
  </si>
  <si>
    <t>kiirasok/JOSVAI_MATE.docx</t>
  </si>
  <si>
    <t>Gallik Zoltán György</t>
  </si>
  <si>
    <t>YRF3M3</t>
  </si>
  <si>
    <t>kiirasok/GALLIK_ZOLTAN_GYORGY.docx</t>
  </si>
  <si>
    <t>Rideg Vilmos Dániel</t>
  </si>
  <si>
    <t>E29I7E</t>
  </si>
  <si>
    <t>kiirasok/RIDEG_VILMOS_DANIEL.docx</t>
  </si>
  <si>
    <t>Cseszka Bence</t>
  </si>
  <si>
    <t>L0P1FU</t>
  </si>
  <si>
    <t>kiirasok/CSESZKA_BENCE.docx</t>
  </si>
  <si>
    <t>Ibrahimli Kanan</t>
  </si>
  <si>
    <t>MQE790</t>
  </si>
  <si>
    <t>kiirasok/IBRAHIMLI_KANAN.docx</t>
  </si>
  <si>
    <t>Göndöcs Martin</t>
  </si>
  <si>
    <t>WUPA9P</t>
  </si>
  <si>
    <t>kiirasok/GONDOCS_MARTIN.docx</t>
  </si>
  <si>
    <t>Janzsó Dániel</t>
  </si>
  <si>
    <t>BF2VW5</t>
  </si>
  <si>
    <t>kiirasok/JANZSO_DANIEL.docx</t>
  </si>
  <si>
    <t>Szrenka Mátyás</t>
  </si>
  <si>
    <t>NQZ3BI</t>
  </si>
  <si>
    <t>kiirasok/SZRENKA_MATYAS.docx</t>
  </si>
  <si>
    <t>Barna László</t>
  </si>
  <si>
    <t>WTOVS4</t>
  </si>
  <si>
    <t>kiirasok/BARNA_LASZLO.docx</t>
  </si>
  <si>
    <t>Turi Márton Zoltán</t>
  </si>
  <si>
    <t>THIPZB</t>
  </si>
  <si>
    <t>kiirasok/TURI_MARTON_ZOLTAN.docx</t>
  </si>
  <si>
    <t>Szegletes Jakab István</t>
  </si>
  <si>
    <t>NBTWCD</t>
  </si>
  <si>
    <t>kiirasok/SZEGLETES_JAKAB_ISTVAN.docx</t>
  </si>
  <si>
    <t>De Haan Tom</t>
  </si>
  <si>
    <t>GD4YKT</t>
  </si>
  <si>
    <t>kiirasok/DE_HAAN_TOM.docx</t>
  </si>
  <si>
    <t>Száller Dániel</t>
  </si>
  <si>
    <t>UJ19SJ</t>
  </si>
  <si>
    <t>kiirasok/SZALLER_DANIEL.docx</t>
  </si>
  <si>
    <t>Kárpáti Kristóf Soma</t>
  </si>
  <si>
    <t>ARN859</t>
  </si>
  <si>
    <t>kiirasok/KARPATI_KRISTOF_SOMA.docx</t>
  </si>
  <si>
    <t>Penk András</t>
  </si>
  <si>
    <t>N8OSF8</t>
  </si>
  <si>
    <t>kiirasok/PENK_ANDRAS.docx</t>
  </si>
  <si>
    <t>Dudás Tamás Alex</t>
  </si>
  <si>
    <t>DRNME9</t>
  </si>
  <si>
    <t>kiirasok/DUDAS_TAMAS_ALEX.docx</t>
  </si>
  <si>
    <t>Plaszkony Balázs</t>
  </si>
  <si>
    <t>NQ47TW</t>
  </si>
  <si>
    <t>kiirasok/PLASZKONY_BALAZS.docx</t>
  </si>
  <si>
    <t>Vas Benedek Zoltán</t>
  </si>
  <si>
    <t>WNMUG4</t>
  </si>
  <si>
    <t>kiirasok/VAS_BENEDEK_ZOLTAN.docx</t>
  </si>
  <si>
    <t>Görbe Dávid</t>
  </si>
  <si>
    <t>TYJ892</t>
  </si>
  <si>
    <t>kiirasok/GORBE_DAVID.docx</t>
  </si>
  <si>
    <t>Kis Mihály Bence</t>
  </si>
  <si>
    <t>B7T8JE</t>
  </si>
  <si>
    <t>kiirasok/KIS_MIHALY_BENCE.docx</t>
  </si>
  <si>
    <t>Ágoston Dániel</t>
  </si>
  <si>
    <t>T95NKI</t>
  </si>
  <si>
    <t>kiirasok/AGOSTON_DANIEL.docx</t>
  </si>
  <si>
    <t>Venter Máté</t>
  </si>
  <si>
    <t>QT3BQN</t>
  </si>
  <si>
    <t>kiirasok/VENTER_MATE.docx</t>
  </si>
  <si>
    <t>Cserei Zsolt</t>
  </si>
  <si>
    <t>ANUZE6</t>
  </si>
  <si>
    <t>kiirasok/CSEREI_ZSOLT.docx</t>
  </si>
  <si>
    <t>Hamadeh Amir</t>
  </si>
  <si>
    <t>E7LDNJ</t>
  </si>
  <si>
    <t>kiirasok/HAMADEH_AMIR.docx</t>
  </si>
  <si>
    <t>Szántó Péter András</t>
  </si>
  <si>
    <t>C5KSYL</t>
  </si>
  <si>
    <t>kiirasok/SZANTO_PETER_ANDRAS.docx</t>
  </si>
  <si>
    <t>Kálmánczhelyi Dóra</t>
  </si>
  <si>
    <t>D1DVWK</t>
  </si>
  <si>
    <t>kiirasok/KALMANCZHELYI_DORA.docx</t>
  </si>
  <si>
    <t>Szabó Máté András</t>
  </si>
  <si>
    <t>O7J4JT</t>
  </si>
  <si>
    <t>kiirasok/SZABO_MATE_ANDRAS.docx</t>
  </si>
  <si>
    <t>Sándor Dániel</t>
  </si>
  <si>
    <t>I8E8B0</t>
  </si>
  <si>
    <t>kiirasok/SANDOR_DANIEL.docx</t>
  </si>
  <si>
    <t>Kerekes László Levente</t>
  </si>
  <si>
    <t>AMW164</t>
  </si>
  <si>
    <t>kiirasok/KEREKES_LASZLO_LEVENTE.docx</t>
  </si>
  <si>
    <t>Péter Bence Zoltán</t>
  </si>
  <si>
    <t>ENLH9I</t>
  </si>
  <si>
    <t>kiirasok/PETER_BENCE_ZOLTAN.docx</t>
  </si>
  <si>
    <t>Rohrsetzer Róbert Richard</t>
  </si>
  <si>
    <t>VN48J4</t>
  </si>
  <si>
    <t>kiirasok/ROHRSETZER_ROBERT_RICHARD.docx</t>
  </si>
  <si>
    <t>Lubics Botond</t>
  </si>
  <si>
    <t>S2OGR2</t>
  </si>
  <si>
    <t>kiirasok/LUBICS_BOTOND.docx</t>
  </si>
  <si>
    <t>Kéri Bálint</t>
  </si>
  <si>
    <t>E5X0XA</t>
  </si>
  <si>
    <t>kiirasok/KERI_BALINT.docx</t>
  </si>
  <si>
    <t>Nyuli Barnabás</t>
  </si>
  <si>
    <t>T711GD</t>
  </si>
  <si>
    <t>kiirasok/NYULI_BARNABAS.docx</t>
  </si>
  <si>
    <t>Sásdi András</t>
  </si>
  <si>
    <t>BT3AEX</t>
  </si>
  <si>
    <t>kiirasok/SASDI_ANDRAS.docx</t>
  </si>
  <si>
    <t>Klaffl Attila András</t>
  </si>
  <si>
    <t>IFQQ7T</t>
  </si>
  <si>
    <t>kiirasok/KLAFFL_ATTILA_ANDRAS.docx</t>
  </si>
  <si>
    <t>Kurucz István</t>
  </si>
  <si>
    <t>RSY0MJ</t>
  </si>
  <si>
    <t>kiirasok/KURUCZ_ISTVAN.docx</t>
  </si>
  <si>
    <t>Szanda Márton</t>
  </si>
  <si>
    <t>GTF0NF</t>
  </si>
  <si>
    <t>kiirasok/SZANDA_MARTON.docx</t>
  </si>
  <si>
    <t>Varga Dávid</t>
  </si>
  <si>
    <t>UG6U91</t>
  </si>
  <si>
    <t>kiirasok/VARGA_DAVID.docx</t>
  </si>
  <si>
    <t>Tóth Eszter</t>
  </si>
  <si>
    <t>EJH8MF</t>
  </si>
  <si>
    <t>kiirasok/TOTH_ESZTER.docx</t>
  </si>
  <si>
    <t>Trautsch László Kálmán</t>
  </si>
  <si>
    <t>CMLJKQ</t>
  </si>
  <si>
    <t>kiirasok/TRAUTSCH_LASZLO_KALMAN.docx</t>
  </si>
  <si>
    <t>Csomós Áron Attila</t>
  </si>
  <si>
    <t>Z9RH3Q</t>
  </si>
  <si>
    <t>kiirasok/CSOMOS_ARON_ATTILA.docx</t>
  </si>
  <si>
    <t>Prim Patrik Gábor</t>
  </si>
  <si>
    <t>W9DMQM</t>
  </si>
  <si>
    <t>kiirasok/PRIM_PATRIK_GABOR.docx</t>
  </si>
  <si>
    <t>Bócsi Barna</t>
  </si>
  <si>
    <t>HI786W</t>
  </si>
  <si>
    <t>kiirasok/BOCSI_BARNA.docx</t>
  </si>
  <si>
    <t>Kelemen Áron Bence</t>
  </si>
  <si>
    <t>PDCO3F</t>
  </si>
  <si>
    <t>kiirasok/KELEMEN_ARON_BENCE.docx</t>
  </si>
  <si>
    <t>Diaz Solis Alexander Ernesto</t>
  </si>
  <si>
    <t>FQG8ZD</t>
  </si>
  <si>
    <t>kiirasok/DIAZ_SOLIS_ALEXANDER_ERNESTO.docx</t>
  </si>
  <si>
    <t>Kardos Máté</t>
  </si>
  <si>
    <t>DP6MFQ</t>
  </si>
  <si>
    <t>kiirasok/KARDOS_MATE.docx</t>
  </si>
  <si>
    <t>Tóth Bence</t>
  </si>
  <si>
    <t>UZ7X9Z</t>
  </si>
  <si>
    <t>kiirasok/TOTH_BENCE.docx</t>
  </si>
  <si>
    <t>Szabó Bence</t>
  </si>
  <si>
    <t>LV08C9</t>
  </si>
  <si>
    <t>kiirasok/SZABO_BENCE.docx</t>
  </si>
  <si>
    <t>Pál Marcell</t>
  </si>
  <si>
    <t>C5T5L7</t>
  </si>
  <si>
    <t>kiirasok/PAL_MARCELL.docx</t>
  </si>
  <si>
    <t>Murzalin Tamerlan</t>
  </si>
  <si>
    <t>U2R2H3</t>
  </si>
  <si>
    <t>kiirasok/MURZALIN_TAMERLAN.docx</t>
  </si>
  <si>
    <t>Török Sándor</t>
  </si>
  <si>
    <t>JU47BZ</t>
  </si>
  <si>
    <t>kiirasok/TOROK_SANDOR.docx</t>
  </si>
  <si>
    <t>Tényi Tamás</t>
  </si>
  <si>
    <t>FXFSWO</t>
  </si>
  <si>
    <t>kiirasok/TENYI_TAMAS.docx</t>
  </si>
  <si>
    <t>Lucz Mátyás Benedek</t>
  </si>
  <si>
    <t>D29I0H</t>
  </si>
  <si>
    <t>kiirasok/LUCZ_MATYAS_BENEDEK.docx</t>
  </si>
  <si>
    <t>Czibulya Csongor</t>
  </si>
  <si>
    <t>TEHJBO</t>
  </si>
  <si>
    <t>kiirasok/CZIBULYA_CSONGOR.docx</t>
  </si>
  <si>
    <t>SLH2JV</t>
  </si>
  <si>
    <t>Führpasz György</t>
  </si>
  <si>
    <t>B4OEG8</t>
  </si>
  <si>
    <t>kiirasok/FUHRPASZ_GYORGY.docx</t>
  </si>
  <si>
    <t>Horváth Botond Solt</t>
  </si>
  <si>
    <t>P9O7KI</t>
  </si>
  <si>
    <t>kiirasok/HORVATH_BOTOND_SOLT.docx</t>
  </si>
  <si>
    <t>Bakonyi Blanka</t>
  </si>
  <si>
    <t>OVAG0B</t>
  </si>
  <si>
    <t>kiirasok/BAKONYI_BLANKA.docx</t>
  </si>
  <si>
    <t>Huang Yixin</t>
  </si>
  <si>
    <t>XLAAPJ</t>
  </si>
  <si>
    <t>kiirasok/HUANG_YIXIN.docx</t>
  </si>
  <si>
    <t>Pigler András</t>
  </si>
  <si>
    <t>XERZQ0</t>
  </si>
  <si>
    <t>kiirasok/PIGLER_ANDRAS.docx</t>
  </si>
  <si>
    <t>Arató Bence Bálint</t>
  </si>
  <si>
    <t>H2TFTH</t>
  </si>
  <si>
    <t>kiirasok/ARATO_BENCE_BALINT.docx</t>
  </si>
  <si>
    <t>Liu Ruohan</t>
  </si>
  <si>
    <t>BMXNEI</t>
  </si>
  <si>
    <t>kiirasok/LIU_RUOHAN.docx</t>
  </si>
  <si>
    <t>Altayev Selim</t>
  </si>
  <si>
    <t>VW9E6B</t>
  </si>
  <si>
    <t>kiirasok/ALTAYEV_SELIM.docx</t>
  </si>
  <si>
    <t>Kamoun Tawfik</t>
  </si>
  <si>
    <t>YXYUHQ</t>
  </si>
  <si>
    <t>kiirasok/KAMOUN_TAWFIK.docx</t>
  </si>
  <si>
    <t>Kolok Miklós Keve</t>
  </si>
  <si>
    <t>CWGMHG</t>
  </si>
  <si>
    <t>kiirasok/KOLOK_MIKLOS_KEVE.docx</t>
  </si>
  <si>
    <t>Szabó Koppány Gábor</t>
  </si>
  <si>
    <t>U7FN88</t>
  </si>
  <si>
    <t>kiirasok/SZABO_KOPPANY_GABOR.docx</t>
  </si>
  <si>
    <t>Décsei Balázs</t>
  </si>
  <si>
    <t>Q4G1ZA</t>
  </si>
  <si>
    <t>kiirasok/DECSEI_BALAZS.docx</t>
  </si>
  <si>
    <t>Koronczai Dávid László</t>
  </si>
  <si>
    <t>QN8ZH6</t>
  </si>
  <si>
    <t>kiirasok/KORONCZAI_DAVID_LASZLO.docx</t>
  </si>
  <si>
    <t>Fehér Olivér</t>
  </si>
  <si>
    <t>BAW7AY</t>
  </si>
  <si>
    <t>kiirasok/FEHER_OLIVER.docx</t>
  </si>
  <si>
    <t>Weisz Máté</t>
  </si>
  <si>
    <t>DVF8MA</t>
  </si>
  <si>
    <t>kiirasok/WEISZ_MATE.docx</t>
  </si>
  <si>
    <t>Zsikla Bence Péter</t>
  </si>
  <si>
    <t>ZCYFUH</t>
  </si>
  <si>
    <t>kiirasok/ZSIKLA_BENCE_PETER.docx</t>
  </si>
  <si>
    <t>Márkus Bánk Marcell</t>
  </si>
  <si>
    <t>NIASI9</t>
  </si>
  <si>
    <t>kiirasok/MARKUS_BANK_MARCELL.docx</t>
  </si>
  <si>
    <t>Kozits Patrik</t>
  </si>
  <si>
    <t>K3I7DL</t>
  </si>
  <si>
    <t>kiirasok/KOZITS_PATRIK.docx</t>
  </si>
  <si>
    <t>Csomor Tamás</t>
  </si>
  <si>
    <t>DVC0Z3</t>
  </si>
  <si>
    <t>kiirasok/CSOMOR_TAMAS.docx</t>
  </si>
  <si>
    <t>Faragó Bálint</t>
  </si>
  <si>
    <t>QM6E6O</t>
  </si>
  <si>
    <t>kiirasok/FARAGO_BALINT.docx</t>
  </si>
  <si>
    <t>Rába Tamás</t>
  </si>
  <si>
    <t>CRLJQ8</t>
  </si>
  <si>
    <t>kiirasok/RABA_TAMAS.docx</t>
  </si>
  <si>
    <t>Seres Ádám</t>
  </si>
  <si>
    <t>JF204C</t>
  </si>
  <si>
    <t>kiirasok/SERES_ADAM.docx</t>
  </si>
  <si>
    <t>Baják Levente Imre</t>
  </si>
  <si>
    <t>B5FWY3</t>
  </si>
  <si>
    <t>kiirasok/BAJAK_LEVENTE_IMRE.docx</t>
  </si>
  <si>
    <t>Simon Benedek Gábor</t>
  </si>
  <si>
    <t>CWTB5S</t>
  </si>
  <si>
    <t>kiirasok/SIMON_BENEDEK_GABOR.docx</t>
  </si>
  <si>
    <t>Sipos Marcell Botond</t>
  </si>
  <si>
    <t>SOQ7HN</t>
  </si>
  <si>
    <t>kiirasok/SIPOS_MARCELL_BOTOND.docx</t>
  </si>
  <si>
    <t>Nagy Szabolcs</t>
  </si>
  <si>
    <t>Z73X7L</t>
  </si>
  <si>
    <t>kiirasok/NAGY_SZABOLCS.docx</t>
  </si>
  <si>
    <t>Tóbiás Dániel</t>
  </si>
  <si>
    <t>X341AY</t>
  </si>
  <si>
    <t>kiirasok/TOBIAS_DANIEL.docx</t>
  </si>
  <si>
    <t>Alala Saly</t>
  </si>
  <si>
    <t>O373VK</t>
  </si>
  <si>
    <t>kiirasok/ALALA_SALY.docx</t>
  </si>
  <si>
    <t>Sőregi Larina</t>
  </si>
  <si>
    <t>M4B9MC</t>
  </si>
  <si>
    <t>kiirasok/SOREGI_LARINA.docx</t>
  </si>
  <si>
    <t>Zolcsák Eszter</t>
  </si>
  <si>
    <t>P46IR8</t>
  </si>
  <si>
    <t>kiirasok/ZOLCSAK_ESZTER.docx</t>
  </si>
  <si>
    <t>Tepliczky Olivér Zoltán</t>
  </si>
  <si>
    <t>WB6LC5</t>
  </si>
  <si>
    <t>kiirasok/TEPLICZKY_OLIVER_ZOLTAN.docx</t>
  </si>
  <si>
    <t>Török Gergely Balázs</t>
  </si>
  <si>
    <t>JHP4SD</t>
  </si>
  <si>
    <t>kiirasok/TOROK_GERGELY_BALAZS.docx</t>
  </si>
  <si>
    <t>Farkas Fanni</t>
  </si>
  <si>
    <t>EU7XYP</t>
  </si>
  <si>
    <t>kiirasok/FARKAS_FANNI.docx</t>
  </si>
  <si>
    <t>Szanyó Benedek</t>
  </si>
  <si>
    <t>EAPKIV</t>
  </si>
  <si>
    <t>kiirasok/SZANYO_BENEDEK.docx</t>
  </si>
  <si>
    <t>Szmok Péter Attila</t>
  </si>
  <si>
    <t>SETGM3</t>
  </si>
  <si>
    <t>kiirasok/SZMOK_PETER_ATTILA.docx</t>
  </si>
  <si>
    <t>Mikó János András</t>
  </si>
  <si>
    <t>BI0R78</t>
  </si>
  <si>
    <t>kiirasok/MIKO_JANOS_ANDRAS.docx</t>
  </si>
  <si>
    <t>Szautner Béla László</t>
  </si>
  <si>
    <t>EEID48</t>
  </si>
  <si>
    <t>kiirasok/SZAUTNER_BELA_LASZLO.docx</t>
  </si>
  <si>
    <t>Mészáros Bálint</t>
  </si>
  <si>
    <t>B3SWVC</t>
  </si>
  <si>
    <t>kiirasok/MESZAROS_BALINT.docx</t>
  </si>
  <si>
    <t>Nemes Dominik Márk</t>
  </si>
  <si>
    <t>H5NULD</t>
  </si>
  <si>
    <t>kiirasok/NEMES_DOMINIK_MARK.docx</t>
  </si>
  <si>
    <t>Viszoki Balázs</t>
  </si>
  <si>
    <t>WAO8ID</t>
  </si>
  <si>
    <t>kiirasok/VISZOKI_BALAZS.docx</t>
  </si>
  <si>
    <t>Andrási Gellért Péter</t>
  </si>
  <si>
    <t>FOSASY</t>
  </si>
  <si>
    <t>kiirasok/ANDRASI_GELLERT_PETER.docx</t>
  </si>
  <si>
    <t>Forrás Máté Ákos</t>
  </si>
  <si>
    <t>ONQ3KU</t>
  </si>
  <si>
    <t>kiirasok/FORRAS_MATE_AKOS.docx</t>
  </si>
  <si>
    <t>Dobos Péter</t>
  </si>
  <si>
    <t>GPQDB3</t>
  </si>
  <si>
    <t>kiirasok/DOBOS_PETER.docx</t>
  </si>
  <si>
    <t>Petky Benedek</t>
  </si>
  <si>
    <t>UT0MZO</t>
  </si>
  <si>
    <t>kiirasok/PETKY_BENEDEK.docx</t>
  </si>
  <si>
    <t>Danyi Péter Márk</t>
  </si>
  <si>
    <t>O73Z62</t>
  </si>
  <si>
    <t>kiirasok/DANYI_PETER_MARK.docx</t>
  </si>
  <si>
    <t>Horváth Ádám Márton</t>
  </si>
  <si>
    <t>KG7GDJ</t>
  </si>
  <si>
    <t>kiirasok/HORVATH_ADAM_MARTON.docx</t>
  </si>
  <si>
    <t>Szikszai Levente</t>
  </si>
  <si>
    <t>AENWDT</t>
  </si>
  <si>
    <t>kiirasok/SZIKSZAI_LEVENTE.docx</t>
  </si>
  <si>
    <t>Honvéd Péter Dezső</t>
  </si>
  <si>
    <t>W0XGIF</t>
  </si>
  <si>
    <t>kiirasok/HONVED_PETER_DEZSO.docx</t>
  </si>
  <si>
    <t>Urak József</t>
  </si>
  <si>
    <t>OWBSN8</t>
  </si>
  <si>
    <t>kiirasok/URAK_JOZSEF.docx</t>
  </si>
  <si>
    <t>Baráth Zsolt</t>
  </si>
  <si>
    <t>KDBYX0</t>
  </si>
  <si>
    <t>kiirasok/BARATH_ZSOLT.docx</t>
  </si>
  <si>
    <t>Lengyel Csaba</t>
  </si>
  <si>
    <t>WT8J1O</t>
  </si>
  <si>
    <t>kiirasok/LENGYEL_CSABA.docx</t>
  </si>
  <si>
    <t>Kereszthury Péter</t>
  </si>
  <si>
    <t>PUKAU0</t>
  </si>
  <si>
    <t>kiirasok/KERESZTHURY_PETER.docx</t>
  </si>
  <si>
    <t>Andó Viola</t>
  </si>
  <si>
    <t>H51B9J</t>
  </si>
  <si>
    <t>kiirasok/ANDO_VIOLA.docx</t>
  </si>
  <si>
    <t>Ábrahám Bálint</t>
  </si>
  <si>
    <t>S8ZO0D</t>
  </si>
  <si>
    <t>kiirasok/ABRAHAM_BALINT.docx</t>
  </si>
  <si>
    <t>Böröcz Botond</t>
  </si>
  <si>
    <t>E77YIW</t>
  </si>
  <si>
    <t>kiirasok/BOROCZ_BOTOND.docx</t>
  </si>
  <si>
    <t>Muzslai László</t>
  </si>
  <si>
    <t>CKOPKR</t>
  </si>
  <si>
    <t>kiirasok/MUZSLAI_LASZLO.docx</t>
  </si>
  <si>
    <t>Körtélyesi Bálint</t>
  </si>
  <si>
    <t>UYROBL</t>
  </si>
  <si>
    <t>kiirasok/KORTELYESI_BALINT.docx</t>
  </si>
  <si>
    <t>Krebs Áron Antal</t>
  </si>
  <si>
    <t>DMQSIV</t>
  </si>
  <si>
    <t>kiirasok/KREBS_ARON_ANTAL.docx</t>
  </si>
  <si>
    <t>Szabados Ádám</t>
  </si>
  <si>
    <t>TSGBM7</t>
  </si>
  <si>
    <t>kiirasok/SZABADOS_ADAM.docx</t>
  </si>
  <si>
    <t>Gerencsér Máté</t>
  </si>
  <si>
    <t>YVSPMN</t>
  </si>
  <si>
    <t>kiirasok/GERENCSER_MATE.docx</t>
  </si>
  <si>
    <t>Sütheö István</t>
  </si>
  <si>
    <t>XOBJYX</t>
  </si>
  <si>
    <t>kiirasok/SUTHEO_ISTVAN.docx</t>
  </si>
  <si>
    <t>Szabadkai Zsombor</t>
  </si>
  <si>
    <t>P7XRW7</t>
  </si>
  <si>
    <t>kiirasok/SZABADKAI_ZSOMBOR.docx</t>
  </si>
  <si>
    <t>Mack Márton</t>
  </si>
  <si>
    <t>CU19QQ</t>
  </si>
  <si>
    <t>kiirasok/MACK_MARTON.docx</t>
  </si>
  <si>
    <t>Iváncsics Barnabás Pál</t>
  </si>
  <si>
    <t>CKQKMC</t>
  </si>
  <si>
    <t>kiirasok/IVANCSICS_BARNABAS_PAL.docx</t>
  </si>
  <si>
    <t>Fáy Ambrus</t>
  </si>
  <si>
    <t>DZMPZ7</t>
  </si>
  <si>
    <t>kiirasok/FAY_AMBRUS.docx</t>
  </si>
  <si>
    <t>Szabó Dániel</t>
  </si>
  <si>
    <t>WZCDMM</t>
  </si>
  <si>
    <t>kiirasok/SZABO_DANIEL.docx</t>
  </si>
  <si>
    <t>Surányi András</t>
  </si>
  <si>
    <t>MDPLSQ</t>
  </si>
  <si>
    <t>kiirasok/SURANYI_ANDRAS.docx</t>
  </si>
  <si>
    <t>Sólyom Béla</t>
  </si>
  <si>
    <t>OUYZY7</t>
  </si>
  <si>
    <t>kiirasok/SOLYOM_BELA.docx</t>
  </si>
  <si>
    <t>Marton Emese</t>
  </si>
  <si>
    <t>SIN002</t>
  </si>
  <si>
    <t>kiirasok/MARTON_EMESE.docx</t>
  </si>
  <si>
    <t>Reisz Balázs Dávid</t>
  </si>
  <si>
    <t>XIVSHH</t>
  </si>
  <si>
    <t>kiirasok/REISZ_BALAZS_DAVID.docx</t>
  </si>
  <si>
    <t>Szász Dóra</t>
  </si>
  <si>
    <t>FFQYAV</t>
  </si>
  <si>
    <t>kiirasok/SZASZ_DORA.docx</t>
  </si>
  <si>
    <t>Székely Ádám</t>
  </si>
  <si>
    <t>HLTVOM</t>
  </si>
  <si>
    <t>kiirasok/SZEKELY_ADAM.docx</t>
  </si>
  <si>
    <t>Molnár Márton</t>
  </si>
  <si>
    <t>KLM60O</t>
  </si>
  <si>
    <t>kiirasok/MOLNAR_MARTON.docx</t>
  </si>
  <si>
    <t>Gánicz Péter</t>
  </si>
  <si>
    <t>HAOHL2</t>
  </si>
  <si>
    <t>kiirasok/GANICZ_PETER.docx</t>
  </si>
  <si>
    <t>Romhányi Zsolt</t>
  </si>
  <si>
    <t>UX7CNI</t>
  </si>
  <si>
    <t>kiirasok/ROMHANYI_ZSOLT.docx</t>
  </si>
  <si>
    <t>Tanai Ádám</t>
  </si>
  <si>
    <t>D5KHMK</t>
  </si>
  <si>
    <t>kiirasok/TANAI_ADAM.docx</t>
  </si>
  <si>
    <t>Bertók Dániel</t>
  </si>
  <si>
    <t>H01HRM</t>
  </si>
  <si>
    <t>kiirasok/BERTOK_DANIEL.docx</t>
  </si>
  <si>
    <t>Balogh Abigél Emese</t>
  </si>
  <si>
    <t>H26F94</t>
  </si>
  <si>
    <t>kiirasok/BALOGH_ABIGEL_EMESE.docx</t>
  </si>
  <si>
    <t>Karsai Artúr Szilveszter</t>
  </si>
  <si>
    <t>M8XHVR</t>
  </si>
  <si>
    <t>kiirasok/KARSAI_ARTUR_SZILVESZTER.docx</t>
  </si>
  <si>
    <t>Ottrok Gabriella</t>
  </si>
  <si>
    <t>MKFU6D</t>
  </si>
  <si>
    <t>kiirasok/OTTROK_GABRIELLA.docx</t>
  </si>
  <si>
    <t>Sinkler Szilveszter József</t>
  </si>
  <si>
    <t>QKFHI1</t>
  </si>
  <si>
    <t>kiirasok/SINKLER_SZILVESZTER_JOZSEF.docx</t>
  </si>
  <si>
    <t>Czímer Bende</t>
  </si>
  <si>
    <t>F254LJ</t>
  </si>
  <si>
    <t>kiirasok/CZIMER_BENDE.docx</t>
  </si>
  <si>
    <t>Kalocsa Ádám</t>
  </si>
  <si>
    <t>XCIWI4</t>
  </si>
  <si>
    <t>kiirasok/KALOCSA_ADAM.docx</t>
  </si>
  <si>
    <t>Elloumi Amine</t>
  </si>
  <si>
    <t>IF9M8W</t>
  </si>
  <si>
    <t>kiirasok/ELLOUMI_AMINE.docx</t>
  </si>
  <si>
    <t>Csarkovszkij Artyjom Alekszandrovics</t>
  </si>
  <si>
    <t>N852Z8</t>
  </si>
  <si>
    <t>kiirasok/CSARKOVSZKIJ_ARTYJOM_ALEKSZANDROVICS.docx</t>
  </si>
  <si>
    <t>Varga Zádor András</t>
  </si>
  <si>
    <t>CFF6ZQ</t>
  </si>
  <si>
    <t>kiirasok/VARGA_ZADOR_ANDRAS.docx</t>
  </si>
  <si>
    <t>Csalagovits Máté</t>
  </si>
  <si>
    <t>FZI562</t>
  </si>
  <si>
    <t>kiirasok/CSALAGOVITS_MATE.docx</t>
  </si>
  <si>
    <t>Horváth Tamás</t>
  </si>
  <si>
    <t>CYUH2Q</t>
  </si>
  <si>
    <t>kiirasok/HORVATH_TAMAS.docx</t>
  </si>
  <si>
    <t>Csibi Patrik Zoltán</t>
  </si>
  <si>
    <t>XND9YW</t>
  </si>
  <si>
    <t>kiirasok/CSIBI_PATRIK_ZOLTAN.docx</t>
  </si>
  <si>
    <t>Sághy Attila</t>
  </si>
  <si>
    <t>FZFZXF</t>
  </si>
  <si>
    <t>kiirasok/SAGHY_ATTILA.docx</t>
  </si>
  <si>
    <t>Angyal Dániel</t>
  </si>
  <si>
    <t>NYNEBB</t>
  </si>
  <si>
    <t>kiirasok/ANGYAL_DANIEL.docx</t>
  </si>
  <si>
    <t>Varga Csaba</t>
  </si>
  <si>
    <t>K04JA8</t>
  </si>
  <si>
    <t>kiirasok/VARGA_CSABA.docx</t>
  </si>
  <si>
    <t>Vajcik Dominik</t>
  </si>
  <si>
    <t>EMXT9B</t>
  </si>
  <si>
    <t>kiirasok/VAJCIK_DOMINIK.docx</t>
  </si>
  <si>
    <t>Hortoványi Ottó</t>
  </si>
  <si>
    <t>LH6LZG</t>
  </si>
  <si>
    <t>kiirasok/HORTOVANYI_OTTO.docx</t>
  </si>
  <si>
    <t>Dúl András</t>
  </si>
  <si>
    <t>QNRY8Q</t>
  </si>
  <si>
    <t>kiirasok/DUL_ANDRAS.docx</t>
  </si>
  <si>
    <t>Farbaky Pál János</t>
  </si>
  <si>
    <t>BSD94P</t>
  </si>
  <si>
    <t>kiirasok/FARBAKY_PAL_JANOS.docx</t>
  </si>
  <si>
    <t>Sinkó Dániel</t>
  </si>
  <si>
    <t>KUR6F9</t>
  </si>
  <si>
    <t>kiirasok/SINKO_DANIEL.docx</t>
  </si>
  <si>
    <t>Técsi Zsuzsanna Vilma</t>
  </si>
  <si>
    <t>QVFLJH</t>
  </si>
  <si>
    <t>kiirasok/TECSI_ZSUZSANNA_VILMA.docx</t>
  </si>
  <si>
    <t>Fógel Barnabás</t>
  </si>
  <si>
    <t>JSUMEA</t>
  </si>
  <si>
    <t>kiirasok/FOGEL_BARNABAS.docx</t>
  </si>
  <si>
    <t>Szatmári Gergely István</t>
  </si>
  <si>
    <t>IU2FB6</t>
  </si>
  <si>
    <t>kiirasok/SZATMARI_GERGELY_ISTVAN.docx</t>
  </si>
  <si>
    <t>Szabados Tibor Balázs</t>
  </si>
  <si>
    <t>LP3F4C</t>
  </si>
  <si>
    <t>kiirasok/SZABADOS_TIBOR_BALAZS.docx</t>
  </si>
  <si>
    <t>Ari András</t>
  </si>
  <si>
    <t>G9A749</t>
  </si>
  <si>
    <t>kiirasok/ARI_ANDRAS.docx</t>
  </si>
  <si>
    <t>Vass Bence</t>
  </si>
  <si>
    <t>AW8S3H</t>
  </si>
  <si>
    <t>kiirasok/VASS_BENCE.docx</t>
  </si>
  <si>
    <t>Marsi Ádám</t>
  </si>
  <si>
    <t>FGCSU9</t>
  </si>
  <si>
    <t>kiirasok/MARSI_ADAM.docx</t>
  </si>
  <si>
    <t>Harsányi Csanád Gellért</t>
  </si>
  <si>
    <t>BY74X1</t>
  </si>
  <si>
    <t>kiirasok/HARSANYI_CSANAD_GELLERT.docx</t>
  </si>
  <si>
    <t>Grozev Erik Plamenov</t>
  </si>
  <si>
    <t>BB8E0J</t>
  </si>
  <si>
    <t>kiirasok/GROZEV_ERIK_PLAMENOV.docx</t>
  </si>
  <si>
    <t>Nagy Márton Gábor</t>
  </si>
  <si>
    <t>XHJJWT</t>
  </si>
  <si>
    <t>kiirasok/NAGY_MARTON_GABOR.docx</t>
  </si>
  <si>
    <t>Harmat Máté</t>
  </si>
  <si>
    <t>KM05P1</t>
  </si>
  <si>
    <t>kiirasok/HARMAT_MATE.docx</t>
  </si>
  <si>
    <t>Horváth Bence Domonkos</t>
  </si>
  <si>
    <t>E6T6VY</t>
  </si>
  <si>
    <t>kiirasok/HORVATH_BENCE_DOMONKOS.docx</t>
  </si>
  <si>
    <t>Horváth Ágnes</t>
  </si>
  <si>
    <t>SYI1PZ</t>
  </si>
  <si>
    <t>kiirasok/HORVATH_AGNES.docx</t>
  </si>
  <si>
    <t>Pál Patrik</t>
  </si>
  <si>
    <t>AIQTQW</t>
  </si>
  <si>
    <t>kiirasok/PAL_PATRIK.docx</t>
  </si>
  <si>
    <t>Tikász Lilla Emese</t>
  </si>
  <si>
    <t>HXSSPB</t>
  </si>
  <si>
    <t>kiirasok/TIKASZ_LILLA_EMESE.docx</t>
  </si>
  <si>
    <t>Phan Viet Dung</t>
  </si>
  <si>
    <t>KYN3Q9</t>
  </si>
  <si>
    <t>kiirasok/PHAN_VIET_DUNG.docx</t>
  </si>
  <si>
    <t>Kun László Ákos</t>
  </si>
  <si>
    <t>SL42BZ</t>
  </si>
  <si>
    <t>kiirasok/KUN_LASZLO_AKOS.docx</t>
  </si>
  <si>
    <t>Vígh Soma</t>
  </si>
  <si>
    <t>OCJ2KH</t>
  </si>
  <si>
    <t>kiirasok/VIGH_SOMA.docx</t>
  </si>
  <si>
    <t>Orosz Pál György</t>
  </si>
  <si>
    <t>B83O0V</t>
  </si>
  <si>
    <t>kiirasok/OROSZ_PAL_GYORGY.docx</t>
  </si>
  <si>
    <t>Németh Levente Álmos</t>
  </si>
  <si>
    <t>PVIX30</t>
  </si>
  <si>
    <t>kiirasok/NEMETH_LEVENTE_ALMOS.docx</t>
  </si>
  <si>
    <t>Süle Zalán Attila</t>
  </si>
  <si>
    <t>IY6CT2</t>
  </si>
  <si>
    <t>kiirasok/SULE_ZALAN_ATTILA.docx</t>
  </si>
  <si>
    <t>Vida András</t>
  </si>
  <si>
    <t>N3SIT4</t>
  </si>
  <si>
    <t>kiirasok/VIDA_ANDRAS.docx</t>
  </si>
  <si>
    <t>Bőczén Koppány András</t>
  </si>
  <si>
    <t>H1A0IA</t>
  </si>
  <si>
    <t>kiirasok/BOCZEN_KOPPANY_ANDRAS.docx</t>
  </si>
  <si>
    <t>Mayer Dávid Gergő</t>
  </si>
  <si>
    <t>BWPAFC</t>
  </si>
  <si>
    <t>kiirasok/MAYER_DAVID_GERGO.docx</t>
  </si>
  <si>
    <t>Ajkler Ákos Szabolcs</t>
  </si>
  <si>
    <t>TEUL0U</t>
  </si>
  <si>
    <t>kiirasok/AJKLER_AKOS_SZABOLCS.docx</t>
  </si>
  <si>
    <t>Pászty Kristóf Áron</t>
  </si>
  <si>
    <t>LH3ASY</t>
  </si>
  <si>
    <t>kiirasok/PASZTY_KRISTOF_ARON.docx</t>
  </si>
  <si>
    <t>Müller Péter</t>
  </si>
  <si>
    <t>TM1S67</t>
  </si>
  <si>
    <t>kiirasok/MULLER_PETER.docx</t>
  </si>
  <si>
    <t>Szegedi Balázs Márk</t>
  </si>
  <si>
    <t>YTPENK</t>
  </si>
  <si>
    <t>kiirasok/SZEGEDI_BALAZS_MARK.docx</t>
  </si>
  <si>
    <t>Buránszki Domonkos</t>
  </si>
  <si>
    <t>CNE27B</t>
  </si>
  <si>
    <t>kiirasok/BURANSZKI_DOMONKOS.docx</t>
  </si>
  <si>
    <t>Prantner Zoltán</t>
  </si>
  <si>
    <t>HM9T3V</t>
  </si>
  <si>
    <t>kiirasok/PRANTNER_ZOLTAN.docx</t>
  </si>
  <si>
    <t>Széll Sámuel Marcell</t>
  </si>
  <si>
    <t>BL046F</t>
  </si>
  <si>
    <t>kiirasok/SZELL_SAMUEL_MARCELL.docx</t>
  </si>
  <si>
    <t>Straub Alexander</t>
  </si>
  <si>
    <t>DINZ55</t>
  </si>
  <si>
    <t>kiirasok/STRAUB_ALEXANDER.docx</t>
  </si>
  <si>
    <t>Tamásy Gergely Márton</t>
  </si>
  <si>
    <t>G1NYGN</t>
  </si>
  <si>
    <t>kiirasok/TAMASY_GERGELY_MARTON.docx</t>
  </si>
  <si>
    <t>Lipcsei Dániel</t>
  </si>
  <si>
    <t>H847OK</t>
  </si>
  <si>
    <t>kiirasok/LIPCSEI_DANIEL.docx</t>
  </si>
  <si>
    <t>Kovács Zsombor</t>
  </si>
  <si>
    <t>DDEZWD</t>
  </si>
  <si>
    <t>kiirasok/KOVACS_ZSOMBOR.docx</t>
  </si>
  <si>
    <t>Farkas Péter Károly</t>
  </si>
  <si>
    <t>UBZN8Q</t>
  </si>
  <si>
    <t>kiirasok/FARKAS_PETER_KAROLY.docx</t>
  </si>
  <si>
    <t>Bayer Ákos</t>
  </si>
  <si>
    <t>U9DTUU</t>
  </si>
  <si>
    <t>kiirasok/BAYER_AKOS.docx</t>
  </si>
  <si>
    <t>Csákai Bence Huba</t>
  </si>
  <si>
    <t>Q8CHHW</t>
  </si>
  <si>
    <t>kiirasok/CSAKAI_BENCE_HUBA.docx</t>
  </si>
  <si>
    <t>Babics Ádám</t>
  </si>
  <si>
    <t>RQR669</t>
  </si>
  <si>
    <t>kiirasok/BABICS_ADAM.docx</t>
  </si>
  <si>
    <t>Sztancs László</t>
  </si>
  <si>
    <t>LDAG8S</t>
  </si>
  <si>
    <t>kiirasok/SZTANCS_LASZLO.docx</t>
  </si>
  <si>
    <t>Tolnai Martin</t>
  </si>
  <si>
    <t>CMX3M3</t>
  </si>
  <si>
    <t>kiirasok/TOLNAI_MARTIN.docx</t>
  </si>
  <si>
    <t>Kovács István</t>
  </si>
  <si>
    <t>MQGC2F</t>
  </si>
  <si>
    <t>kiirasok/KOVACS_ISTVAN.docx</t>
  </si>
  <si>
    <t>Kékegyi Márk</t>
  </si>
  <si>
    <t>CY1BLZ</t>
  </si>
  <si>
    <t>kiirasok/KEKEGYI_MARK.docx</t>
  </si>
  <si>
    <t>Szőke Zsombor István</t>
  </si>
  <si>
    <t>N9YWA1</t>
  </si>
  <si>
    <t>kiirasok/SZOKE_ZSOMBOR_ISTVAN.docx</t>
  </si>
  <si>
    <t>Marák Levente</t>
  </si>
  <si>
    <t>K2DE0K</t>
  </si>
  <si>
    <t>kiirasok/MARAK_LEVENTE.docx</t>
  </si>
  <si>
    <t>Haag Domonkos</t>
  </si>
  <si>
    <t>Z4EUJV</t>
  </si>
  <si>
    <t>kiirasok/HAAG_DOMONKOS.docx</t>
  </si>
  <si>
    <t>Jordán Levente Tibor</t>
  </si>
  <si>
    <t>ELMHX3</t>
  </si>
  <si>
    <t>kiirasok/JORDAN_LEVENTE_TIBOR.docx</t>
  </si>
  <si>
    <t>Dashkin Marsel</t>
  </si>
  <si>
    <t>ROSQ9A</t>
  </si>
  <si>
    <t>kiirasok/DASHKIN_MARSEL.docx</t>
  </si>
  <si>
    <t>Lawal Zainab Opemipo</t>
  </si>
  <si>
    <t>Q493JD</t>
  </si>
  <si>
    <t>kiirasok/LAWAL_ZAINAB_OPEMIPO.docx</t>
  </si>
  <si>
    <t>Machado De La Torre James</t>
  </si>
  <si>
    <t>CZQAEM</t>
  </si>
  <si>
    <t>kiirasok/MACHADO_DE_LA_TORRE_JAMES.docx</t>
  </si>
  <si>
    <t>Abdalla Rahma Raef Mohamed Mohamed</t>
  </si>
  <si>
    <t>L2E9GT</t>
  </si>
  <si>
    <t>kiirasok/ABDALLA_RAHMA_RAEF_MOHAMED_MOHAMED.docx</t>
  </si>
  <si>
    <t>Kuti Áron</t>
  </si>
  <si>
    <t>D84PZN</t>
  </si>
  <si>
    <t>kiirasok/KUTI_ARON.docx</t>
  </si>
  <si>
    <t>Baki Bence István</t>
  </si>
  <si>
    <t>BOIR4K</t>
  </si>
  <si>
    <t>kiirasok/BAKI_BENCE_ISTVAN.docx</t>
  </si>
  <si>
    <t>Mészáros András</t>
  </si>
  <si>
    <t>BSBK18</t>
  </si>
  <si>
    <t>kiirasok/MESZAROS_ANDRAS.docx</t>
  </si>
  <si>
    <t>Mohácsi Ákos</t>
  </si>
  <si>
    <t>VTWDGF</t>
  </si>
  <si>
    <t>kiirasok/MOHACSI_AKOS.docx</t>
  </si>
  <si>
    <t>Bihercz Lóránt</t>
  </si>
  <si>
    <t>JSW8HF</t>
  </si>
  <si>
    <t>kiirasok/BIHERCZ_LORANT.docx</t>
  </si>
  <si>
    <t>Tulok Sára</t>
  </si>
  <si>
    <t>VWNVT6</t>
  </si>
  <si>
    <t>kiirasok/TULOK_SARA.docx</t>
  </si>
  <si>
    <t>Holló Csaba</t>
  </si>
  <si>
    <t>MSESUZ</t>
  </si>
  <si>
    <t>kiirasok/HOLLO_CSABA.docx</t>
  </si>
  <si>
    <t>Mészáros Barna</t>
  </si>
  <si>
    <t>PRYJJV</t>
  </si>
  <si>
    <t>kiirasok/MESZAROS_BARNA.docx</t>
  </si>
  <si>
    <t>Szabó-Feltóthy Pál</t>
  </si>
  <si>
    <t>YQ9D8Q</t>
  </si>
  <si>
    <t>kiirasok/SZABO_FELTOTHY_PAL.docx</t>
  </si>
  <si>
    <t>Gergely Mátyás</t>
  </si>
  <si>
    <t>X9VG6O</t>
  </si>
  <si>
    <t>kiirasok/GERGELY_MATYAS.docx</t>
  </si>
  <si>
    <t>Rácz Gabriella Fanni</t>
  </si>
  <si>
    <t>ISFP3Q</t>
  </si>
  <si>
    <t>kiirasok/RACZ_GABRIELLA_FANNI.docx</t>
  </si>
  <si>
    <t>Gyöngyösi Ákos</t>
  </si>
  <si>
    <t>B04G6C</t>
  </si>
  <si>
    <t>kiirasok/GYONGYOSI_AKOS.docx</t>
  </si>
  <si>
    <t>Csutora Lilla</t>
  </si>
  <si>
    <t>GIQBWP</t>
  </si>
  <si>
    <t>kiirasok/CSUTORA_LILLA.docx</t>
  </si>
  <si>
    <t>Hőgyes Krisztián</t>
  </si>
  <si>
    <t>D85S3M</t>
  </si>
  <si>
    <t>kiirasok/HOGYES_KRISZTIAN.docx</t>
  </si>
  <si>
    <t>Széll Adrián Bence</t>
  </si>
  <si>
    <t>BPE3HL</t>
  </si>
  <si>
    <t>kiirasok/SZELL_ADRIAN_BENCE.docx</t>
  </si>
  <si>
    <t>Prinz Márk</t>
  </si>
  <si>
    <t>XF7A69</t>
  </si>
  <si>
    <t>kiirasok/PRINZ_MARK.docx</t>
  </si>
  <si>
    <t>Simon Tamás Dorián</t>
  </si>
  <si>
    <t>DXD80O</t>
  </si>
  <si>
    <t>kiirasok/SIMON_TAMAS_DORIAN.docx</t>
  </si>
  <si>
    <t>Szászvári Márton Péter</t>
  </si>
  <si>
    <t>OKR8HA</t>
  </si>
  <si>
    <t>kiirasok/SZASZVARI_MARTON_PETER.docx</t>
  </si>
  <si>
    <t>Vörös Vencel Boldizsár</t>
  </si>
  <si>
    <t>EV68WM</t>
  </si>
  <si>
    <t>kiirasok/VOROS_VENCEL_BOLDIZSAR.docx</t>
  </si>
  <si>
    <t>Tasi Gergő</t>
  </si>
  <si>
    <t>BRY27P</t>
  </si>
  <si>
    <t>kiirasok/TASI_GERGO.docx</t>
  </si>
  <si>
    <t>Golyha Tamás Zsolt</t>
  </si>
  <si>
    <t>A5CS6I</t>
  </si>
  <si>
    <t>kiirasok/GOLYHA_TAMAS_ZSOLT.docx</t>
  </si>
  <si>
    <t>Salti Hani</t>
  </si>
  <si>
    <t>RU0BNQ</t>
  </si>
  <si>
    <t>kiirasok/SALTI_HANI.docx</t>
  </si>
  <si>
    <t>Molnár Márk Sándor</t>
  </si>
  <si>
    <t>LNID5S</t>
  </si>
  <si>
    <t>kiirasok/MOLNAR_MARK_SANDOR.docx</t>
  </si>
  <si>
    <t>Nagy Dávid</t>
  </si>
  <si>
    <t>FLBTBB</t>
  </si>
  <si>
    <t>kiirasok/NAGY_DAVID.docx</t>
  </si>
  <si>
    <t>Rahmi Dániel</t>
  </si>
  <si>
    <t>WIFRTR</t>
  </si>
  <si>
    <t>kiirasok/RAHMI_DANIEL.docx</t>
  </si>
  <si>
    <t>Zolcsák Gergő</t>
  </si>
  <si>
    <t>P1CTMD</t>
  </si>
  <si>
    <t>kiirasok/ZOLCSAK_GERGO.docx</t>
  </si>
  <si>
    <t>Starosta Gergő Bence</t>
  </si>
  <si>
    <t>YJRFP9</t>
  </si>
  <si>
    <t>kiirasok/STAROSTA_GERGO_BENCE.docx</t>
  </si>
  <si>
    <t>Bolgár Zsófia</t>
  </si>
  <si>
    <t>PETJ0Q</t>
  </si>
  <si>
    <t>kiirasok/BOLGAR_ZSOFIA.docx</t>
  </si>
  <si>
    <t>Pifkó Barna</t>
  </si>
  <si>
    <t>IUBBRI</t>
  </si>
  <si>
    <t>kiirasok/PIFKO_BARNA.docx</t>
  </si>
  <si>
    <t>Zalaváry Dániel</t>
  </si>
  <si>
    <t>D4006T</t>
  </si>
  <si>
    <t>kiirasok/ZALAVARY_DANIEL.docx</t>
  </si>
  <si>
    <t>Tomecz Tamás</t>
  </si>
  <si>
    <t>E3W5KR</t>
  </si>
  <si>
    <t>kiirasok/TOMECZ_TAMAS.docx</t>
  </si>
  <si>
    <t>Taher Mured Abdulghani</t>
  </si>
  <si>
    <t>B6RXU1</t>
  </si>
  <si>
    <t>kiirasok/TAHER_MURED_ABDULGHANI.docx</t>
  </si>
  <si>
    <t>Adnan Zahraa Haider</t>
  </si>
  <si>
    <t>EVYZZM</t>
  </si>
  <si>
    <t>kiirasok/ADNAN_ZAHRAA_HAIDER.docx</t>
  </si>
  <si>
    <t>Zhang Jinjing</t>
  </si>
  <si>
    <t>M5UG9O</t>
  </si>
  <si>
    <t>kiirasok/ZHANG_JINJING.docx</t>
  </si>
  <si>
    <t>Bakos Gergő</t>
  </si>
  <si>
    <t>NID4HA</t>
  </si>
  <si>
    <t>kiirasok/BAKOS_GERGO.docx</t>
  </si>
  <si>
    <t>Demény Tamás Attila</t>
  </si>
  <si>
    <t>A8LNH3</t>
  </si>
  <si>
    <t>kiirasok/DEMENY_TAMAS_ATTILA.docx</t>
  </si>
  <si>
    <t>Gibicsár Gergő</t>
  </si>
  <si>
    <t>M44MK1</t>
  </si>
  <si>
    <t>kiirasok/GIBICSAR_GERGO.docx</t>
  </si>
  <si>
    <t>Mészáros Márk</t>
  </si>
  <si>
    <t>ER6NSU</t>
  </si>
  <si>
    <t>kiirasok/MESZAROS_MARK.docx</t>
  </si>
  <si>
    <t>Spertli Krisztián</t>
  </si>
  <si>
    <t>IYX0EQ</t>
  </si>
  <si>
    <t>kiirasok/SPERTLI_KRISZTIAN.docx</t>
  </si>
  <si>
    <t>Szakács Olivér</t>
  </si>
  <si>
    <t>GAA9DD</t>
  </si>
  <si>
    <t>kiirasok/SZAKACS_OLIVER.docx</t>
  </si>
  <si>
    <t>Moré Áron</t>
  </si>
  <si>
    <t>C0FUJI</t>
  </si>
  <si>
    <t>kiirasok/MORE_ARON.docx</t>
  </si>
  <si>
    <t>Szebedy Géza István</t>
  </si>
  <si>
    <t>IB2BQD</t>
  </si>
  <si>
    <t>kiirasok/SZEBEDY_GEZA_ISTVAN.docx</t>
  </si>
  <si>
    <t>Pallos Gábor György</t>
  </si>
  <si>
    <t>QN1SXN</t>
  </si>
  <si>
    <t>kiirasok/PALLOS_GABOR_GYORGY.docx</t>
  </si>
  <si>
    <t>Lénárt Levente</t>
  </si>
  <si>
    <t>YIWROG</t>
  </si>
  <si>
    <t>kiirasok/LENART_LEVENTE.docx</t>
  </si>
  <si>
    <t>Bereczki Máté</t>
  </si>
  <si>
    <t>M975OK</t>
  </si>
  <si>
    <t>kiirasok/BERECZKI_MATE.docx</t>
  </si>
  <si>
    <t>Horváth Gellért</t>
  </si>
  <si>
    <t>BFK4J4</t>
  </si>
  <si>
    <t>kiirasok/HORVATH_GELLERT.docx</t>
  </si>
  <si>
    <t>Körtvélyessy László</t>
  </si>
  <si>
    <t>GWCYIK</t>
  </si>
  <si>
    <t>kiirasok/KORTVELYESSY_LASZLO.docx</t>
  </si>
  <si>
    <t>Tóth Kincső Eszter</t>
  </si>
  <si>
    <t>D28B59</t>
  </si>
  <si>
    <t>kiirasok/TOTH_KINCSO_ESZTER.docx</t>
  </si>
  <si>
    <t>Mankge Simphiwe Harvey</t>
  </si>
  <si>
    <t>FSL7CU</t>
  </si>
  <si>
    <t>kiirasok/MANKGE_SIMPHIWE_HARVEY.docx</t>
  </si>
  <si>
    <t>Bärnkopf Áron Salamon</t>
  </si>
  <si>
    <t>C3FBCD</t>
  </si>
  <si>
    <t>kiirasok/BÄRNKOPF_ARON_SALAMON.docx</t>
  </si>
  <si>
    <t>Gulig József Máté</t>
  </si>
  <si>
    <t>D73IKB</t>
  </si>
  <si>
    <t>kiirasok/GULIG_JOZSEF_MATE.docx</t>
  </si>
  <si>
    <t>Szekeres Alex</t>
  </si>
  <si>
    <t>CCNZI2</t>
  </si>
  <si>
    <t>kiirasok/SZEKERES_ALEX.docx</t>
  </si>
  <si>
    <t>Büki Kálmán</t>
  </si>
  <si>
    <t>MOZH9G</t>
  </si>
  <si>
    <t>kiirasok/BUKI_KALMAN.docx</t>
  </si>
  <si>
    <t>Czeglédi Dániel</t>
  </si>
  <si>
    <t>CDEBFX</t>
  </si>
  <si>
    <t>kiirasok/CZEGLEDI_DANIEL.docx</t>
  </si>
  <si>
    <t>Fehér Anna</t>
  </si>
  <si>
    <t>WE0JN9</t>
  </si>
  <si>
    <t>kiirasok/FEHER_ANNA.docx</t>
  </si>
  <si>
    <t>Miczki Márk</t>
  </si>
  <si>
    <t>DO9MAO</t>
  </si>
  <si>
    <t>kiirasok/MICZKI_MARK.docx</t>
  </si>
  <si>
    <t>Natkay Botond</t>
  </si>
  <si>
    <t>H6S9BC</t>
  </si>
  <si>
    <t>kiirasok/NATKAY_BOTOND.docx</t>
  </si>
  <si>
    <t>Tima Patrik Richárd</t>
  </si>
  <si>
    <t>K8OTTI</t>
  </si>
  <si>
    <t>kiirasok/TIMA_PATRIK_RICHARD.docx</t>
  </si>
  <si>
    <t>Benedek Zoltán</t>
  </si>
  <si>
    <t>VZ9AS0</t>
  </si>
  <si>
    <t>kiirasok/BENEDEK_ZOLTAN.docx</t>
  </si>
  <si>
    <t>Ötvös Márton Álmos</t>
  </si>
  <si>
    <t>EZG1LF</t>
  </si>
  <si>
    <t>kiirasok/OTVOS_MARTON_ALMOS.docx</t>
  </si>
  <si>
    <t>Bárányos Petra Sári</t>
  </si>
  <si>
    <t>JAJ6AD</t>
  </si>
  <si>
    <t>kiirasok/BARANYOS_PETRA_SARI.docx</t>
  </si>
  <si>
    <t>Kovács Dávid</t>
  </si>
  <si>
    <t>FYEAS5</t>
  </si>
  <si>
    <t>kiirasok/KOVACS_DAVID.docx</t>
  </si>
  <si>
    <t>Taganova Altynjemal</t>
  </si>
  <si>
    <t>JP0A3K</t>
  </si>
  <si>
    <t>kiirasok/TAGANOVA_ALTYNJEMAL.docx</t>
  </si>
  <si>
    <t>Anderlik Sándor</t>
  </si>
  <si>
    <t>ZSO5CM</t>
  </si>
  <si>
    <t>kiirasok/ANDERLIK_SANDOR.docx</t>
  </si>
  <si>
    <t>Horváth Ágoston</t>
  </si>
  <si>
    <t>PGBDTC</t>
  </si>
  <si>
    <t>kiirasok/HORVATH_AGOSTON.docx</t>
  </si>
  <si>
    <t>Csirmaz Gáspár</t>
  </si>
  <si>
    <t>DVSBKJ</t>
  </si>
  <si>
    <t>kiirasok/CSIRMAZ_GASPAR.docx</t>
  </si>
  <si>
    <t>Somogyi Benedek</t>
  </si>
  <si>
    <t>GPJR54</t>
  </si>
  <si>
    <t>kiirasok/SOMOGYI_BENEDEK.docx</t>
  </si>
  <si>
    <t>Sajben Dániel</t>
  </si>
  <si>
    <t>VX4USX</t>
  </si>
  <si>
    <t>kiirasok/SAJBEN_DANIEL.docx</t>
  </si>
  <si>
    <t>Kun Ferenc Ágoston</t>
  </si>
  <si>
    <t>GS0N0V</t>
  </si>
  <si>
    <t>kiirasok/KUN_FERENC_AGOSTON.docx</t>
  </si>
  <si>
    <t>Tóth Álmos Zoltán</t>
  </si>
  <si>
    <t>G3PNZL</t>
  </si>
  <si>
    <t>kiirasok/TOTH_ALMOS_ZOLTAN.docx</t>
  </si>
  <si>
    <t>Pálmai Flórián</t>
  </si>
  <si>
    <t>BW4XQ7</t>
  </si>
  <si>
    <t>kiirasok/PALMAI_FLORIAN.docx</t>
  </si>
  <si>
    <t>Szalay Gergő</t>
  </si>
  <si>
    <t>RHJR2H</t>
  </si>
  <si>
    <t>kiirasok/SZALAY_GERGO.docx</t>
  </si>
  <si>
    <t>Bruncsics Bálint</t>
  </si>
  <si>
    <t>CQIA5X</t>
  </si>
  <si>
    <t>kiirasok/BRUNCSICS_BALINT.docx</t>
  </si>
  <si>
    <t>Dombóvári Bálint</t>
  </si>
  <si>
    <t>E0PKKH</t>
  </si>
  <si>
    <t>kiirasok/DOMBOVARI_BALINT.docx</t>
  </si>
  <si>
    <t>Csegzi Lóránd Márton</t>
  </si>
  <si>
    <t>CM8F9W</t>
  </si>
  <si>
    <t>kiirasok/CSEGZI_LORAND_MARTON.docx</t>
  </si>
  <si>
    <t>Mizser Ádám Zoltán</t>
  </si>
  <si>
    <t>SHKGZW</t>
  </si>
  <si>
    <t>kiirasok/MIZSER_ADAM_ZOLTAN.docx</t>
  </si>
  <si>
    <t>Kovács Donát</t>
  </si>
  <si>
    <t>BYVO9O</t>
  </si>
  <si>
    <t>kiirasok/KOVACS_DONAT.docx</t>
  </si>
  <si>
    <t>Szabó Gergő Barnabás</t>
  </si>
  <si>
    <t>AFXLJG</t>
  </si>
  <si>
    <t>kiirasok/SZABO_GERGO_BARNABAS.docx</t>
  </si>
  <si>
    <t>Dancs Bertalan</t>
  </si>
  <si>
    <t>APY9AN</t>
  </si>
  <si>
    <t>kiirasok/DANCS_BERTALAN.docx</t>
  </si>
  <si>
    <t>Molnár Balázs</t>
  </si>
  <si>
    <t>W55IO8</t>
  </si>
  <si>
    <t>kiirasok/MOLNAR_BALAZS.docx</t>
  </si>
  <si>
    <t>Gulyás Bence</t>
  </si>
  <si>
    <t>E5P1LO</t>
  </si>
  <si>
    <t>kiirasok/GULYAS_BENCE.docx</t>
  </si>
  <si>
    <t>Nagy László</t>
  </si>
  <si>
    <t>BC7TB3</t>
  </si>
  <si>
    <t>kiirasok/NAGY_LASZLO.docx</t>
  </si>
  <si>
    <t>Németh Balázs</t>
  </si>
  <si>
    <t>M8PH6J</t>
  </si>
  <si>
    <t>kiirasok/NEMETH_BALAZS.docx</t>
  </si>
  <si>
    <t>Schmidt Gergő András</t>
  </si>
  <si>
    <t>S2Q2D4</t>
  </si>
  <si>
    <t>kiirasok/SCHMIDT_GERGO_ANDRAS.docx</t>
  </si>
  <si>
    <t>Benkő Orsolya</t>
  </si>
  <si>
    <t>DOGB3R</t>
  </si>
  <si>
    <t>kiirasok/BENKO_ORSOLYA.docx</t>
  </si>
  <si>
    <t>Sánta Dániel</t>
  </si>
  <si>
    <t>OGLSI2</t>
  </si>
  <si>
    <t>kiirasok/SANTA_DANIEL.docx</t>
  </si>
  <si>
    <t>Jáky Dániel Fülöp</t>
  </si>
  <si>
    <t>C9N6ZK</t>
  </si>
  <si>
    <t>kiirasok/JAKY_DANIEL_FULOP.docx</t>
  </si>
  <si>
    <t>Móczár Dániel László</t>
  </si>
  <si>
    <t>CHYD8H</t>
  </si>
  <si>
    <t>kiirasok/MOCZAR_DANIEL_LASZLO.docx</t>
  </si>
  <si>
    <t>Bor Csenge Nóra</t>
  </si>
  <si>
    <t>LI7BDT</t>
  </si>
  <si>
    <t>kiirasok/BOR_CSENGE_NORA.docx</t>
  </si>
  <si>
    <t>Leszkovszki Nóra</t>
  </si>
  <si>
    <t>AOM6DL</t>
  </si>
  <si>
    <t>kiirasok/LESZKOVSZKI_NORA.docx</t>
  </si>
  <si>
    <t>Nagy Márk</t>
  </si>
  <si>
    <t>JBCZP8</t>
  </si>
  <si>
    <t>kiirasok/NAGY_MARK.docx</t>
  </si>
  <si>
    <t>Szokoly-Angyal Armand</t>
  </si>
  <si>
    <t>VN450W</t>
  </si>
  <si>
    <t>kiirasok/SZOKOLY_ANGYAL_ARMAND.docx</t>
  </si>
  <si>
    <t>Nagy Gergely</t>
  </si>
  <si>
    <t>HC1QJP</t>
  </si>
  <si>
    <t>kiirasok/NAGY_GERGELY.docx</t>
  </si>
  <si>
    <t>Rékó Márton</t>
  </si>
  <si>
    <t>KAMFNQ</t>
  </si>
  <si>
    <t>kiirasok/REKO_MARTON.docx</t>
  </si>
  <si>
    <t>Saad Mazen Mohsen</t>
  </si>
  <si>
    <t>PH8BF7</t>
  </si>
  <si>
    <t>kiirasok/SAAD_MAZEN_MOHSEN.docx</t>
  </si>
  <si>
    <t>Szép András</t>
  </si>
  <si>
    <t>GZXGUQ</t>
  </si>
  <si>
    <t>kiirasok/SZEP_ANDRAS.docx</t>
  </si>
  <si>
    <t>Papp Levente</t>
  </si>
  <si>
    <t>HV0CRH</t>
  </si>
  <si>
    <t>kiirasok/PAPP_LEVENTE.docx</t>
  </si>
  <si>
    <t>Rácz Dominik István</t>
  </si>
  <si>
    <t>X8SDVC</t>
  </si>
  <si>
    <t>kiirasok/RACZ_DOMINIK_ISTVAN.docx</t>
  </si>
  <si>
    <t>Bakó Péter</t>
  </si>
  <si>
    <t>OTQVE5</t>
  </si>
  <si>
    <t>kiirasok/BAKO_PETER.docx</t>
  </si>
  <si>
    <t>Lévai Márton</t>
  </si>
  <si>
    <t>C7OKIE</t>
  </si>
  <si>
    <t>kiirasok/LEVAI_MARTON.docx</t>
  </si>
  <si>
    <t>Dézsenyi Balázs Zoltán</t>
  </si>
  <si>
    <t>JJSFIL</t>
  </si>
  <si>
    <t>kiirasok/DEZSENYI_BALAZS_ZOLTAN.docx</t>
  </si>
  <si>
    <t>Kurtos András</t>
  </si>
  <si>
    <t>BLDI3I</t>
  </si>
  <si>
    <t>kiirasok/KURTOS_ANDRAS.docx</t>
  </si>
  <si>
    <t>Molnár Bence György</t>
  </si>
  <si>
    <t>JINVFB</t>
  </si>
  <si>
    <t>kiirasok/MOLNAR_BENCE_GYORGY.docx</t>
  </si>
  <si>
    <t>Személyi Balázs András</t>
  </si>
  <si>
    <t>ROV43C</t>
  </si>
  <si>
    <t>kiirasok/SZEMELYI_BALAZS_ANDRAS.docx</t>
  </si>
  <si>
    <t>Demők Döme Máté</t>
  </si>
  <si>
    <t>BGVPVW</t>
  </si>
  <si>
    <t>kiirasok/DEMOK_DOME_MATE.docx</t>
  </si>
  <si>
    <t>Szekeres Márton</t>
  </si>
  <si>
    <t>CMTORT</t>
  </si>
  <si>
    <t>kiirasok/SZEKERES_MARTON.docx</t>
  </si>
  <si>
    <t>Benedek Olivér</t>
  </si>
  <si>
    <t>C2JUZ6</t>
  </si>
  <si>
    <t>kiirasok/BENEDEK_OLIVER.docx</t>
  </si>
  <si>
    <t>Mucsi Attila Gábor</t>
  </si>
  <si>
    <t>HEZNU6</t>
  </si>
  <si>
    <t>kiirasok/MUCSI_ATTILA_GABOR.docx</t>
  </si>
  <si>
    <t>Piller Dániel</t>
  </si>
  <si>
    <t>RXBESJ</t>
  </si>
  <si>
    <t>kiirasok/PILLER_DANIEL.docx</t>
  </si>
  <si>
    <t>Mikola Bálint István</t>
  </si>
  <si>
    <t>TCV0Y9</t>
  </si>
  <si>
    <t>kiirasok/MIKOLA_BALINT_ISTVAN.docx</t>
  </si>
  <si>
    <t>Pokó Kincső Réka</t>
  </si>
  <si>
    <t>MKIIDG</t>
  </si>
  <si>
    <t>kiirasok/POKO_KINCSO_REKA.docx</t>
  </si>
  <si>
    <t>Hajtaieb Yosra</t>
  </si>
  <si>
    <t>HOOS0X</t>
  </si>
  <si>
    <t>kiirasok/HAJTAIEB_YOSRA.docx</t>
  </si>
  <si>
    <t>Yuldashev Marsel</t>
  </si>
  <si>
    <t>DUZJ06</t>
  </si>
  <si>
    <t>kiirasok/YULDASHEV_MARSEL.docx</t>
  </si>
  <si>
    <t>Tolobekov Ibrakhim</t>
  </si>
  <si>
    <t>GQ1UJJ</t>
  </si>
  <si>
    <t>kiirasok/TOLOBEKOV_IBRAKHIM.docx</t>
  </si>
  <si>
    <t>Al-Raoush Basel Eyad Ebraheem</t>
  </si>
  <si>
    <t>SDR1AO</t>
  </si>
  <si>
    <t>kiirasok/AL_RAOUSH_BASEL_EYAD_EBRAHEEM.docx</t>
  </si>
  <si>
    <t>Buyanjargal Byambajav</t>
  </si>
  <si>
    <t>DBMZD1</t>
  </si>
  <si>
    <t>kiirasok/BUYANJARGAL_BYAMBAJAV.docx</t>
  </si>
  <si>
    <t>Tian Chuanxingzi</t>
  </si>
  <si>
    <t>XB4NSE</t>
  </si>
  <si>
    <t>kiirasok/TIAN_CHUANXINGZI.docx</t>
  </si>
  <si>
    <t>Yoshida Ai</t>
  </si>
  <si>
    <t>FPYYT9</t>
  </si>
  <si>
    <t>kiirasok/YOSHIDA_AI.docx</t>
  </si>
  <si>
    <t>Khalifa Ahmed Osama Mohamed</t>
  </si>
  <si>
    <t>TH642Y</t>
  </si>
  <si>
    <t>kiirasok/KHALIFA_AHMED_OSAMA_MOHAMED.docx</t>
  </si>
  <si>
    <t>Hussein Majed Jamal Majed</t>
  </si>
  <si>
    <t>YRGJAF</t>
  </si>
  <si>
    <t>kiirasok/HUSSEIN_MAJED_JAMAL_MAJED.docx</t>
  </si>
  <si>
    <t>Hammad Sara Abdelhakim Abdelrehim Ahmed Saad</t>
  </si>
  <si>
    <t>EMCKP1</t>
  </si>
  <si>
    <t>kiirasok/HAMMAD_SARA_ABDELHAKIM_ABDELREHIM_AHMED_SAAD.docx</t>
  </si>
  <si>
    <t>Akkila Dareen Mohammed</t>
  </si>
  <si>
    <t>IZHXR5</t>
  </si>
  <si>
    <t>kiirasok/AKKILA_DAREEN_MOHAMMED.docx</t>
  </si>
  <si>
    <t>Sharma Shobhit</t>
  </si>
  <si>
    <t>U5FT4N</t>
  </si>
  <si>
    <t>kiirasok/SHARMA_SHOBHIT.docx</t>
  </si>
  <si>
    <t>Eldeeb Mohamed Nagy</t>
  </si>
  <si>
    <t>IJV1HI</t>
  </si>
  <si>
    <t>kiirasok/ELDEEB_MOHAMED_NAGY.docx</t>
  </si>
  <si>
    <t>Roushan</t>
  </si>
  <si>
    <t>CTPZAA</t>
  </si>
  <si>
    <t>kiirasok/ROUSHAN.docx</t>
  </si>
  <si>
    <t>Lépés</t>
  </si>
  <si>
    <t>Makró</t>
  </si>
  <si>
    <t>Hotkey</t>
  </si>
  <si>
    <t>Leírás</t>
  </si>
  <si>
    <t>CollectStudents</t>
  </si>
  <si>
    <t>Ctrl-Shift-C</t>
  </si>
  <si>
    <t>Kővári Bence Dr.</t>
  </si>
  <si>
    <t>Ekler Péter Dr.</t>
  </si>
  <si>
    <t>Albert István</t>
  </si>
  <si>
    <t>Forstner Bertalan Dr.</t>
  </si>
  <si>
    <t>Al-Magsoosi Husam Dr.</t>
  </si>
  <si>
    <t>Mrad Mohamed Azouz</t>
  </si>
  <si>
    <t>Imre Gábor</t>
  </si>
  <si>
    <t>Szekeres Kornél</t>
  </si>
  <si>
    <t>Pomázi Krisztián</t>
  </si>
  <si>
    <t>Tóth Tibor</t>
  </si>
  <si>
    <t>Gincsai Gábor</t>
  </si>
  <si>
    <t>Csorba Kristóf Dr.</t>
  </si>
  <si>
    <t>Torma Szabolcs</t>
  </si>
  <si>
    <t>Somogyi Ferenc Attila Dr.</t>
  </si>
  <si>
    <t>Kiss Domokos Dr.</t>
  </si>
  <si>
    <t>Gótzy Márton</t>
  </si>
  <si>
    <t>Furmann Áron</t>
  </si>
  <si>
    <t>Szegletes Luca Dr.</t>
  </si>
  <si>
    <t>Kökényesi Tamás</t>
  </si>
  <si>
    <t>Kovács László</t>
  </si>
  <si>
    <t>Nagy Ákos</t>
  </si>
  <si>
    <t>Bándy Kristóf Gábor Dr.</t>
  </si>
  <si>
    <t>Balogh Attila Dr.</t>
  </si>
  <si>
    <t>Hideg Attila Dr.</t>
  </si>
  <si>
    <t>Tevesz Judit</t>
  </si>
  <si>
    <t>Szücs Cintia Lia</t>
  </si>
  <si>
    <t>Somogyi Norbert Zsolt</t>
  </si>
  <si>
    <t>Sik Dávid</t>
  </si>
  <si>
    <t>Hamar János Dr.</t>
  </si>
  <si>
    <t>Kovács Tibor Dr.</t>
  </si>
  <si>
    <t>Kövesdán Gábor</t>
  </si>
  <si>
    <t>Mezei Gergely Dr.</t>
  </si>
  <si>
    <t>Knyihár Gábor</t>
  </si>
  <si>
    <t>Szabó Zoltán</t>
  </si>
  <si>
    <t>Gazdi László</t>
  </si>
  <si>
    <t>Gembela Gergely</t>
  </si>
  <si>
    <t>Veréb Szabolcs</t>
  </si>
  <si>
    <t>Kovács Viktor</t>
  </si>
  <si>
    <t>Kiss Ágoston</t>
  </si>
  <si>
    <t>Bányász Gábor</t>
  </si>
  <si>
    <t>Blázovics László Dr.</t>
  </si>
  <si>
    <t>Hartmann Ábel</t>
  </si>
  <si>
    <t>Futó András Dr.</t>
  </si>
  <si>
    <t>Stumpf Péter</t>
  </si>
  <si>
    <t>Max Gyula Dr.</t>
  </si>
  <si>
    <t>Tevesz Gábor Dr.</t>
  </si>
  <si>
    <t>Morvay Balázs Tibor</t>
  </si>
  <si>
    <t>Dunaev Dmitriy Dr.</t>
  </si>
  <si>
    <t>Lucz Géza</t>
  </si>
  <si>
    <t>Oláh István</t>
  </si>
  <si>
    <t>Békési Gergő Bendegúz</t>
  </si>
  <si>
    <t>Rajacsics Tamás</t>
  </si>
  <si>
    <t>Béres Bálint</t>
  </si>
  <si>
    <t>Kardos Gergely</t>
  </si>
  <si>
    <t>Abonyi-Tóth Barbara</t>
  </si>
  <si>
    <t>Szécsényi Nándor</t>
  </si>
  <si>
    <t>Varjasi István Dr.</t>
  </si>
  <si>
    <t>Sütő Zoltán Dr.</t>
  </si>
  <si>
    <t>Pásztor Dániel</t>
  </si>
  <si>
    <t>Mohammad Saleem Dr.</t>
  </si>
  <si>
    <t>Simon Gábor</t>
  </si>
  <si>
    <t>Ctrl-Shift-G</t>
  </si>
  <si>
    <t>GenerateTaskDescriptions</t>
  </si>
  <si>
    <t>A Terheles… xlsx alapján feltölti a GeneráltHallgatóiLista worksheetet</t>
  </si>
  <si>
    <t>Legenerálja a feladatkiírásokat a sablon alapján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</si>
</sst>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38"/>
      <scheme val="minor"/>
    </font>
    <font>
      <b/>
      <sz val="12"/>
      <color rgb="FFFFFFFF"/>
      <name val="Calibri"/>
      <family val="2"/>
      <charset val="238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4001F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</borders>
  <cellStyleXfs count="2">
    <xf numFmtId="0" fontId="0" fillId="0" borderId="0"/>
    <xf numFmtId="0" fontId="1" fillId="2" borderId="1"/>
  </cellStyleXfs>
  <cellXfs count="3">
    <xf numFmtId="0" fontId="0" fillId="0" borderId="0" xfId="0"/>
    <xf numFmtId="0" fontId="1" fillId="2" borderId="1" xfId="1"/>
    <xf numFmtId="0" fontId="2" fillId="0" borderId="0" xfId="0" applyFont="1"/>
  </cellXfs>
  <cellStyles count="2">
    <cellStyle name="headerStyle" xfId="1" xr:uid="{6845530C-5F7A-44AE-99E9-76EF3194F9CC}"/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711BB-16CA-4A6F-B783-8651BBC3F72D}">
  <sheetPr codeName="Munka1"/>
  <dimension ref="A1:D3"/>
  <sheetViews>
    <sheetView workbookViewId="0">
      <selection activeCell="D4" sqref="D4"/>
    </sheetView>
  </sheetViews>
  <sheetFormatPr defaultRowHeight="15" x14ac:dyDescent="0.25"/>
  <cols>
    <col min="1" max="1" width="6" bestFit="1" customWidth="1"/>
    <col min="2" max="2" width="10.42578125" bestFit="1" customWidth="1"/>
    <col min="3" max="3" width="24.5703125" bestFit="1" customWidth="1"/>
  </cols>
  <sheetData>
    <row r="1" spans="1:4" s="2" customFormat="1" x14ac:dyDescent="0.25">
      <c r="A1" s="2" t="s">
        <v>1309</v>
      </c>
      <c r="B1" s="2" t="s">
        <v>1311</v>
      </c>
      <c r="C1" s="2" t="s">
        <v>1310</v>
      </c>
      <c r="D1" s="2" t="s">
        <v>1312</v>
      </c>
    </row>
    <row r="2" spans="1:4" x14ac:dyDescent="0.25">
      <c r="A2">
        <v>1</v>
      </c>
      <c r="B2" t="s">
        <v>1314</v>
      </c>
      <c r="C2" t="s">
        <v>1313</v>
      </c>
      <c r="D2" t="s">
        <v>1378</v>
      </c>
    </row>
    <row r="3" spans="1:4" x14ac:dyDescent="0.25">
      <c r="A3">
        <v>2</v>
      </c>
      <c r="B3" t="s">
        <v>1376</v>
      </c>
      <c r="C3" t="s">
        <v>1377</v>
      </c>
      <c r="D3" t="s">
        <v>1379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78705-867E-4798-BBF6-D52F72EC6C25}">
  <sheetPr codeName="Munka2"/>
  <dimension ref="A1:H463"/>
  <sheetViews>
    <sheetView tabSelected="1" workbookViewId="0">
      <selection activeCell="A12" sqref="A12"/>
    </sheetView>
  </sheetViews>
  <sheetFormatPr defaultRowHeight="15" x14ac:dyDescent="0.25"/>
  <cols>
    <col min="1" max="1" width="12.85546875" bestFit="1" customWidth="1"/>
    <col min="2" max="2" width="11.140625" bestFit="1" customWidth="1"/>
    <col min="3" max="3" width="9" bestFit="1" customWidth="1"/>
    <col min="4" max="4" width="22.140625" bestFit="1" customWidth="1"/>
    <col min="5" max="5" width="21.140625" bestFit="1" customWidth="1"/>
    <col min="6" max="6" width="14.7109375" bestFit="1" customWidth="1"/>
    <col min="7" max="7" width="20" bestFit="1" customWidth="1"/>
    <col min="8" max="8" width="19.28515625" bestFit="1" customWidth="1"/>
  </cols>
  <sheetData>
    <row r="1" spans="1:8" s="2" customFormat="1" x14ac:dyDescent="0.25">
      <c r="A1" s="2" t="s">
        <v>58</v>
      </c>
      <c r="B1" s="2" t="s">
        <v>57</v>
      </c>
      <c r="C1" s="2" t="s">
        <v>59</v>
      </c>
      <c r="D1" s="2" t="s">
        <v>50</v>
      </c>
      <c r="E1" s="2" t="s">
        <v>51</v>
      </c>
      <c r="F1" s="2" t="s">
        <v>60</v>
      </c>
      <c r="G1" s="2" t="s">
        <v>61</v>
      </c>
      <c r="H1" s="2" t="s">
        <v>62</v>
      </c>
    </row>
    <row r="2" spans="1:8" x14ac:dyDescent="0.25">
      <c r="A2" t="s">
        <v>63</v>
      </c>
      <c r="B2" t="s">
        <v>64</v>
      </c>
      <c r="C2" t="s">
        <v>2</v>
      </c>
      <c r="D2" t="str">
        <f>IFERROR(VLOOKUP($C$2,'Tantárgyi adatok'!B:D,2,FALSE),"nincs")</f>
        <v>nincs</v>
      </c>
      <c r="E2" t="str">
        <f>IFERROR(VLOOKUP($C$2,'Tantárgyi adatok'!B:D,3,FALSE),"nincs")</f>
        <v>nincs</v>
      </c>
      <c r="F2" t="s">
        <v>1315</v>
      </c>
      <c r="H2" t="s">
        <v>65</v>
      </c>
    </row>
    <row r="3" spans="1:8" x14ac:dyDescent="0.25">
      <c r="A3" t="s">
        <v>66</v>
      </c>
      <c r="B3" t="s">
        <v>67</v>
      </c>
      <c r="C3" t="s">
        <v>4</v>
      </c>
      <c r="D3" t="str">
        <f>IFERROR(VLOOKUP($C$3,'Tantárgyi adatok'!B:D,2,FALSE),"nincs")</f>
        <v>Diplomatervezési</v>
      </c>
      <c r="E3" t="str">
        <f>IFERROR(VLOOKUP($C$3,'Tantárgyi adatok'!B:D,3,FALSE),"nincs")</f>
        <v>Mérnökinformatikus</v>
      </c>
      <c r="F3" t="s">
        <v>1315</v>
      </c>
      <c r="H3" t="s">
        <v>68</v>
      </c>
    </row>
    <row r="4" spans="1:8" x14ac:dyDescent="0.25">
      <c r="A4" t="s">
        <v>69</v>
      </c>
      <c r="B4" t="s">
        <v>70</v>
      </c>
      <c r="C4" t="s">
        <v>4</v>
      </c>
      <c r="D4" t="str">
        <f>IFERROR(VLOOKUP($C$4,'Tantárgyi adatok'!B:D,2,FALSE),"nincs")</f>
        <v>Diplomatervezési</v>
      </c>
      <c r="E4" t="str">
        <f>IFERROR(VLOOKUP($C$4,'Tantárgyi adatok'!B:D,3,FALSE),"nincs")</f>
        <v>Mérnökinformatikus</v>
      </c>
      <c r="F4" t="s">
        <v>1316</v>
      </c>
      <c r="H4" t="s">
        <v>71</v>
      </c>
    </row>
    <row r="5" spans="1:8" x14ac:dyDescent="0.25">
      <c r="A5" t="s">
        <v>72</v>
      </c>
      <c r="B5" t="s">
        <v>73</v>
      </c>
      <c r="C5" t="s">
        <v>4</v>
      </c>
      <c r="D5" t="str">
        <f>IFERROR(VLOOKUP($C$5,'Tantárgyi adatok'!B:D,2,FALSE),"nincs")</f>
        <v>Diplomatervezési</v>
      </c>
      <c r="E5" t="str">
        <f>IFERROR(VLOOKUP($C$5,'Tantárgyi adatok'!B:D,3,FALSE),"nincs")</f>
        <v>Mérnökinformatikus</v>
      </c>
      <c r="F5" t="s">
        <v>1317</v>
      </c>
      <c r="H5" t="s">
        <v>74</v>
      </c>
    </row>
    <row r="6" spans="1:8" x14ac:dyDescent="0.25">
      <c r="A6" t="s">
        <v>75</v>
      </c>
      <c r="B6" t="s">
        <v>76</v>
      </c>
      <c r="C6" t="s">
        <v>4</v>
      </c>
      <c r="D6" t="str">
        <f>IFERROR(VLOOKUP($C$6,'Tantárgyi adatok'!B:D,2,FALSE),"nincs")</f>
        <v>Diplomatervezési</v>
      </c>
      <c r="E6" t="str">
        <f>IFERROR(VLOOKUP($C$6,'Tantárgyi adatok'!B:D,3,FALSE),"nincs")</f>
        <v>Mérnökinformatikus</v>
      </c>
      <c r="F6" t="s">
        <v>1318</v>
      </c>
      <c r="H6" t="s">
        <v>77</v>
      </c>
    </row>
    <row r="7" spans="1:8" x14ac:dyDescent="0.25">
      <c r="A7" t="s">
        <v>78</v>
      </c>
      <c r="B7" t="s">
        <v>79</v>
      </c>
      <c r="C7" t="s">
        <v>4</v>
      </c>
      <c r="D7" t="str">
        <f>IFERROR(VLOOKUP($C$7,'Tantárgyi adatok'!B:D,2,FALSE),"nincs")</f>
        <v>Diplomatervezési</v>
      </c>
      <c r="E7" t="str">
        <f>IFERROR(VLOOKUP($C$7,'Tantárgyi adatok'!B:D,3,FALSE),"nincs")</f>
        <v>Mérnökinformatikus</v>
      </c>
      <c r="F7" t="s">
        <v>1319</v>
      </c>
      <c r="H7" t="s">
        <v>80</v>
      </c>
    </row>
    <row r="8" spans="1:8" x14ac:dyDescent="0.25">
      <c r="A8" t="s">
        <v>81</v>
      </c>
      <c r="B8" t="s">
        <v>82</v>
      </c>
      <c r="C8" t="s">
        <v>4</v>
      </c>
      <c r="D8" t="str">
        <f>IFERROR(VLOOKUP($C$8,'Tantárgyi adatok'!B:D,2,FALSE),"nincs")</f>
        <v>Diplomatervezési</v>
      </c>
      <c r="E8" t="str">
        <f>IFERROR(VLOOKUP($C$8,'Tantárgyi adatok'!B:D,3,FALSE),"nincs")</f>
        <v>Mérnökinformatikus</v>
      </c>
      <c r="F8" t="s">
        <v>1315</v>
      </c>
      <c r="H8" t="s">
        <v>83</v>
      </c>
    </row>
    <row r="9" spans="1:8" x14ac:dyDescent="0.25">
      <c r="A9" t="s">
        <v>84</v>
      </c>
      <c r="B9" t="s">
        <v>85</v>
      </c>
      <c r="C9" t="s">
        <v>4</v>
      </c>
      <c r="D9" t="str">
        <f>IFERROR(VLOOKUP($C$9,'Tantárgyi adatok'!B:D,2,FALSE),"nincs")</f>
        <v>Diplomatervezési</v>
      </c>
      <c r="E9" t="str">
        <f>IFERROR(VLOOKUP($C$9,'Tantárgyi adatok'!B:D,3,FALSE),"nincs")</f>
        <v>Mérnökinformatikus</v>
      </c>
      <c r="F9" t="s">
        <v>1320</v>
      </c>
      <c r="H9" t="s">
        <v>86</v>
      </c>
    </row>
    <row r="10" spans="1:8" x14ac:dyDescent="0.25">
      <c r="A10" t="s">
        <v>87</v>
      </c>
      <c r="B10" t="s">
        <v>88</v>
      </c>
      <c r="C10" t="s">
        <v>4</v>
      </c>
      <c r="D10" t="str">
        <f>IFERROR(VLOOKUP($C$10,'Tantárgyi adatok'!B:D,2,FALSE),"nincs")</f>
        <v>Diplomatervezési</v>
      </c>
      <c r="E10" t="str">
        <f>IFERROR(VLOOKUP($C$10,'Tantárgyi adatok'!B:D,3,FALSE),"nincs")</f>
        <v>Mérnökinformatikus</v>
      </c>
      <c r="F10" t="s">
        <v>1319</v>
      </c>
      <c r="H10" t="s">
        <v>89</v>
      </c>
    </row>
    <row r="11" spans="1:8" x14ac:dyDescent="0.25">
      <c r="A11" t="s">
        <v>90</v>
      </c>
      <c r="B11" t="s">
        <v>91</v>
      </c>
      <c r="C11" t="s">
        <v>6</v>
      </c>
      <c r="D11" t="str">
        <f>IFERROR(VLOOKUP($C$11,'Tantárgyi adatok'!B:D,2,FALSE),"nincs")</f>
        <v>Diplomatervezési</v>
      </c>
      <c r="E11" t="str">
        <f>IFERROR(VLOOKUP($C$11,'Tantárgyi adatok'!B:D,3,FALSE),"nincs")</f>
        <v>Mérnökinformatikus</v>
      </c>
      <c r="F11" t="s">
        <v>1321</v>
      </c>
      <c r="H11" t="s">
        <v>92</v>
      </c>
    </row>
    <row r="12" spans="1:8" x14ac:dyDescent="0.25">
      <c r="A12" t="s">
        <v>93</v>
      </c>
      <c r="B12" t="s">
        <v>94</v>
      </c>
      <c r="C12" t="s">
        <v>6</v>
      </c>
      <c r="D12" t="str">
        <f>IFERROR(VLOOKUP($C$12,'Tantárgyi adatok'!B:D,2,FALSE),"nincs")</f>
        <v>Diplomatervezési</v>
      </c>
      <c r="E12" t="str">
        <f>IFERROR(VLOOKUP($C$12,'Tantárgyi adatok'!B:D,3,FALSE),"nincs")</f>
        <v>Mérnökinformatikus</v>
      </c>
      <c r="F12" t="s">
        <v>1322</v>
      </c>
      <c r="H12" t="s">
        <v>95</v>
      </c>
    </row>
    <row r="13" spans="1:8" x14ac:dyDescent="0.25">
      <c r="A13" t="s">
        <v>96</v>
      </c>
      <c r="B13" t="s">
        <v>97</v>
      </c>
      <c r="C13" t="s">
        <v>6</v>
      </c>
      <c r="D13" t="str">
        <f>IFERROR(VLOOKUP($C$13,'Tantárgyi adatok'!B:D,2,FALSE),"nincs")</f>
        <v>Diplomatervezési</v>
      </c>
      <c r="E13" t="str">
        <f>IFERROR(VLOOKUP($C$13,'Tantárgyi adatok'!B:D,3,FALSE),"nincs")</f>
        <v>Mérnökinformatikus</v>
      </c>
      <c r="F13" t="s">
        <v>1323</v>
      </c>
      <c r="H13" t="s">
        <v>98</v>
      </c>
    </row>
    <row r="14" spans="1:8" x14ac:dyDescent="0.25">
      <c r="A14" t="s">
        <v>99</v>
      </c>
      <c r="B14" t="s">
        <v>100</v>
      </c>
      <c r="C14" t="s">
        <v>6</v>
      </c>
      <c r="D14" t="str">
        <f>IFERROR(VLOOKUP($C$14,'Tantárgyi adatok'!B:D,2,FALSE),"nincs")</f>
        <v>Diplomatervezési</v>
      </c>
      <c r="E14" t="str">
        <f>IFERROR(VLOOKUP($C$14,'Tantárgyi adatok'!B:D,3,FALSE),"nincs")</f>
        <v>Mérnökinformatikus</v>
      </c>
      <c r="F14" t="s">
        <v>1324</v>
      </c>
      <c r="H14" t="s">
        <v>101</v>
      </c>
    </row>
    <row r="15" spans="1:8" x14ac:dyDescent="0.25">
      <c r="A15" t="s">
        <v>102</v>
      </c>
      <c r="B15" t="s">
        <v>103</v>
      </c>
      <c r="C15" t="s">
        <v>6</v>
      </c>
      <c r="D15" t="str">
        <f>IFERROR(VLOOKUP($C$15,'Tantárgyi adatok'!B:D,2,FALSE),"nincs")</f>
        <v>Diplomatervezési</v>
      </c>
      <c r="E15" t="str">
        <f>IFERROR(VLOOKUP($C$15,'Tantárgyi adatok'!B:D,3,FALSE),"nincs")</f>
        <v>Mérnökinformatikus</v>
      </c>
      <c r="F15" t="s">
        <v>1324</v>
      </c>
      <c r="H15" t="s">
        <v>104</v>
      </c>
    </row>
    <row r="16" spans="1:8" x14ac:dyDescent="0.25">
      <c r="A16" t="s">
        <v>105</v>
      </c>
      <c r="B16" t="s">
        <v>106</v>
      </c>
      <c r="C16" t="s">
        <v>6</v>
      </c>
      <c r="D16" t="str">
        <f>IFERROR(VLOOKUP($C$16,'Tantárgyi adatok'!B:D,2,FALSE),"nincs")</f>
        <v>Diplomatervezési</v>
      </c>
      <c r="E16" t="str">
        <f>IFERROR(VLOOKUP($C$16,'Tantárgyi adatok'!B:D,3,FALSE),"nincs")</f>
        <v>Mérnökinformatikus</v>
      </c>
      <c r="F16" t="s">
        <v>1325</v>
      </c>
      <c r="H16" t="s">
        <v>107</v>
      </c>
    </row>
    <row r="17" spans="1:8" x14ac:dyDescent="0.25">
      <c r="A17" t="s">
        <v>108</v>
      </c>
      <c r="B17" t="s">
        <v>109</v>
      </c>
      <c r="C17" t="s">
        <v>6</v>
      </c>
      <c r="D17" t="str">
        <f>IFERROR(VLOOKUP($C$17,'Tantárgyi adatok'!B:D,2,FALSE),"nincs")</f>
        <v>Diplomatervezési</v>
      </c>
      <c r="E17" t="str">
        <f>IFERROR(VLOOKUP($C$17,'Tantárgyi adatok'!B:D,3,FALSE),"nincs")</f>
        <v>Mérnökinformatikus</v>
      </c>
      <c r="F17" t="s">
        <v>1325</v>
      </c>
      <c r="H17" t="s">
        <v>110</v>
      </c>
    </row>
    <row r="18" spans="1:8" x14ac:dyDescent="0.25">
      <c r="A18" t="s">
        <v>111</v>
      </c>
      <c r="B18" t="s">
        <v>112</v>
      </c>
      <c r="C18" t="s">
        <v>6</v>
      </c>
      <c r="D18" t="str">
        <f>IFERROR(VLOOKUP($C$18,'Tantárgyi adatok'!B:D,2,FALSE),"nincs")</f>
        <v>Diplomatervezési</v>
      </c>
      <c r="E18" t="str">
        <f>IFERROR(VLOOKUP($C$18,'Tantárgyi adatok'!B:D,3,FALSE),"nincs")</f>
        <v>Mérnökinformatikus</v>
      </c>
      <c r="F18" t="s">
        <v>1326</v>
      </c>
      <c r="H18" t="s">
        <v>113</v>
      </c>
    </row>
    <row r="19" spans="1:8" x14ac:dyDescent="0.25">
      <c r="A19" t="s">
        <v>114</v>
      </c>
      <c r="B19" t="s">
        <v>115</v>
      </c>
      <c r="C19" t="s">
        <v>6</v>
      </c>
      <c r="D19" t="str">
        <f>IFERROR(VLOOKUP($C$19,'Tantárgyi adatok'!B:D,2,FALSE),"nincs")</f>
        <v>Diplomatervezési</v>
      </c>
      <c r="E19" t="str">
        <f>IFERROR(VLOOKUP($C$19,'Tantárgyi adatok'!B:D,3,FALSE),"nincs")</f>
        <v>Mérnökinformatikus</v>
      </c>
      <c r="F19" t="s">
        <v>1327</v>
      </c>
      <c r="H19" t="s">
        <v>116</v>
      </c>
    </row>
    <row r="20" spans="1:8" x14ac:dyDescent="0.25">
      <c r="A20" t="s">
        <v>117</v>
      </c>
      <c r="B20" t="s">
        <v>118</v>
      </c>
      <c r="C20" t="s">
        <v>6</v>
      </c>
      <c r="D20" t="str">
        <f>IFERROR(VLOOKUP($C$20,'Tantárgyi adatok'!B:D,2,FALSE),"nincs")</f>
        <v>Diplomatervezési</v>
      </c>
      <c r="E20" t="str">
        <f>IFERROR(VLOOKUP($C$20,'Tantárgyi adatok'!B:D,3,FALSE),"nincs")</f>
        <v>Mérnökinformatikus</v>
      </c>
      <c r="F20" t="s">
        <v>1317</v>
      </c>
      <c r="H20" t="s">
        <v>119</v>
      </c>
    </row>
    <row r="21" spans="1:8" x14ac:dyDescent="0.25">
      <c r="A21" t="s">
        <v>120</v>
      </c>
      <c r="B21" t="s">
        <v>121</v>
      </c>
      <c r="C21" t="s">
        <v>6</v>
      </c>
      <c r="D21" t="str">
        <f>IFERROR(VLOOKUP($C$21,'Tantárgyi adatok'!B:D,2,FALSE),"nincs")</f>
        <v>Diplomatervezési</v>
      </c>
      <c r="E21" t="str">
        <f>IFERROR(VLOOKUP($C$21,'Tantárgyi adatok'!B:D,3,FALSE),"nincs")</f>
        <v>Mérnökinformatikus</v>
      </c>
      <c r="F21" t="s">
        <v>1321</v>
      </c>
      <c r="H21" t="s">
        <v>122</v>
      </c>
    </row>
    <row r="22" spans="1:8" x14ac:dyDescent="0.25">
      <c r="A22" t="s">
        <v>123</v>
      </c>
      <c r="B22" t="s">
        <v>124</v>
      </c>
      <c r="C22" t="s">
        <v>6</v>
      </c>
      <c r="D22" t="str">
        <f>IFERROR(VLOOKUP($C$22,'Tantárgyi adatok'!B:D,2,FALSE),"nincs")</f>
        <v>Diplomatervezési</v>
      </c>
      <c r="E22" t="str">
        <f>IFERROR(VLOOKUP($C$22,'Tantárgyi adatok'!B:D,3,FALSE),"nincs")</f>
        <v>Mérnökinformatikus</v>
      </c>
      <c r="F22" t="s">
        <v>1328</v>
      </c>
      <c r="H22" t="s">
        <v>125</v>
      </c>
    </row>
    <row r="23" spans="1:8" x14ac:dyDescent="0.25">
      <c r="A23" t="s">
        <v>126</v>
      </c>
      <c r="B23" t="s">
        <v>127</v>
      </c>
      <c r="C23" t="s">
        <v>6</v>
      </c>
      <c r="D23" t="str">
        <f>IFERROR(VLOOKUP($C$23,'Tantárgyi adatok'!B:D,2,FALSE),"nincs")</f>
        <v>Diplomatervezési</v>
      </c>
      <c r="E23" t="str">
        <f>IFERROR(VLOOKUP($C$23,'Tantárgyi adatok'!B:D,3,FALSE),"nincs")</f>
        <v>Mérnökinformatikus</v>
      </c>
      <c r="F23" t="s">
        <v>1315</v>
      </c>
      <c r="H23" t="s">
        <v>128</v>
      </c>
    </row>
    <row r="24" spans="1:8" x14ac:dyDescent="0.25">
      <c r="A24" t="s">
        <v>129</v>
      </c>
      <c r="B24" t="s">
        <v>130</v>
      </c>
      <c r="C24" t="s">
        <v>6</v>
      </c>
      <c r="D24" t="str">
        <f>IFERROR(VLOOKUP($C$24,'Tantárgyi adatok'!B:D,2,FALSE),"nincs")</f>
        <v>Diplomatervezési</v>
      </c>
      <c r="E24" t="str">
        <f>IFERROR(VLOOKUP($C$24,'Tantárgyi adatok'!B:D,3,FALSE),"nincs")</f>
        <v>Mérnökinformatikus</v>
      </c>
      <c r="F24" t="s">
        <v>1323</v>
      </c>
      <c r="H24" t="s">
        <v>131</v>
      </c>
    </row>
    <row r="25" spans="1:8" x14ac:dyDescent="0.25">
      <c r="A25" t="s">
        <v>132</v>
      </c>
      <c r="B25" t="s">
        <v>133</v>
      </c>
      <c r="C25" t="s">
        <v>6</v>
      </c>
      <c r="D25" t="str">
        <f>IFERROR(VLOOKUP($C$25,'Tantárgyi adatok'!B:D,2,FALSE),"nincs")</f>
        <v>Diplomatervezési</v>
      </c>
      <c r="E25" t="str">
        <f>IFERROR(VLOOKUP($C$25,'Tantárgyi adatok'!B:D,3,FALSE),"nincs")</f>
        <v>Mérnökinformatikus</v>
      </c>
      <c r="F25" t="s">
        <v>1320</v>
      </c>
      <c r="H25" t="s">
        <v>134</v>
      </c>
    </row>
    <row r="26" spans="1:8" x14ac:dyDescent="0.25">
      <c r="A26" t="s">
        <v>135</v>
      </c>
      <c r="B26" t="s">
        <v>136</v>
      </c>
      <c r="C26" t="s">
        <v>8</v>
      </c>
      <c r="D26" t="str">
        <f>IFERROR(VLOOKUP($C$26,'Tantárgyi adatok'!B:D,2,FALSE),"nincs")</f>
        <v>Diplomatervezési</v>
      </c>
      <c r="E26" t="str">
        <f>IFERROR(VLOOKUP($C$26,'Tantárgyi adatok'!B:D,3,FALSE),"nincs")</f>
        <v>Villamosmérnök</v>
      </c>
      <c r="F26" t="s">
        <v>1329</v>
      </c>
      <c r="H26" t="s">
        <v>137</v>
      </c>
    </row>
    <row r="27" spans="1:8" x14ac:dyDescent="0.25">
      <c r="A27" t="s">
        <v>138</v>
      </c>
      <c r="B27" t="s">
        <v>139</v>
      </c>
      <c r="C27" t="s">
        <v>10</v>
      </c>
      <c r="D27" t="str">
        <f>IFERROR(VLOOKUP($C$27,'Tantárgyi adatok'!B:D,2,FALSE),"nincs")</f>
        <v>Diplomatervezési</v>
      </c>
      <c r="E27" t="str">
        <f>IFERROR(VLOOKUP($C$27,'Tantárgyi adatok'!B:D,3,FALSE),"nincs")</f>
        <v>Villamosmérnök</v>
      </c>
      <c r="F27" t="s">
        <v>1330</v>
      </c>
      <c r="H27" t="s">
        <v>140</v>
      </c>
    </row>
    <row r="28" spans="1:8" x14ac:dyDescent="0.25">
      <c r="A28" t="s">
        <v>141</v>
      </c>
      <c r="B28" t="s">
        <v>142</v>
      </c>
      <c r="C28" t="s">
        <v>10</v>
      </c>
      <c r="D28" t="str">
        <f>IFERROR(VLOOKUP($C$28,'Tantárgyi adatok'!B:D,2,FALSE),"nincs")</f>
        <v>Diplomatervezési</v>
      </c>
      <c r="E28" t="str">
        <f>IFERROR(VLOOKUP($C$28,'Tantárgyi adatok'!B:D,3,FALSE),"nincs")</f>
        <v>Villamosmérnök</v>
      </c>
      <c r="F28" t="s">
        <v>1331</v>
      </c>
      <c r="H28" t="s">
        <v>143</v>
      </c>
    </row>
    <row r="29" spans="1:8" x14ac:dyDescent="0.25">
      <c r="A29" t="s">
        <v>144</v>
      </c>
      <c r="B29" t="s">
        <v>145</v>
      </c>
      <c r="C29" t="s">
        <v>10</v>
      </c>
      <c r="D29" t="str">
        <f>IFERROR(VLOOKUP($C$29,'Tantárgyi adatok'!B:D,2,FALSE),"nincs")</f>
        <v>Diplomatervezési</v>
      </c>
      <c r="E29" t="str">
        <f>IFERROR(VLOOKUP($C$29,'Tantárgyi adatok'!B:D,3,FALSE),"nincs")</f>
        <v>Villamosmérnök</v>
      </c>
      <c r="F29" t="s">
        <v>1332</v>
      </c>
      <c r="H29" t="s">
        <v>146</v>
      </c>
    </row>
    <row r="30" spans="1:8" x14ac:dyDescent="0.25">
      <c r="A30" t="s">
        <v>147</v>
      </c>
      <c r="B30" t="s">
        <v>148</v>
      </c>
      <c r="C30" t="s">
        <v>10</v>
      </c>
      <c r="D30" t="str">
        <f>IFERROR(VLOOKUP($C$30,'Tantárgyi adatok'!B:D,2,FALSE),"nincs")</f>
        <v>Diplomatervezési</v>
      </c>
      <c r="E30" t="str">
        <f>IFERROR(VLOOKUP($C$30,'Tantárgyi adatok'!B:D,3,FALSE),"nincs")</f>
        <v>Villamosmérnök</v>
      </c>
      <c r="F30" t="s">
        <v>1333</v>
      </c>
      <c r="H30" t="s">
        <v>149</v>
      </c>
    </row>
    <row r="31" spans="1:8" x14ac:dyDescent="0.25">
      <c r="A31" t="s">
        <v>150</v>
      </c>
      <c r="B31" t="s">
        <v>151</v>
      </c>
      <c r="C31" t="s">
        <v>10</v>
      </c>
      <c r="D31" t="str">
        <f>IFERROR(VLOOKUP($C$31,'Tantárgyi adatok'!B:D,2,FALSE),"nincs")</f>
        <v>Diplomatervezési</v>
      </c>
      <c r="E31" t="str">
        <f>IFERROR(VLOOKUP($C$31,'Tantárgyi adatok'!B:D,3,FALSE),"nincs")</f>
        <v>Villamosmérnök</v>
      </c>
      <c r="F31" t="s">
        <v>1334</v>
      </c>
      <c r="H31" t="s">
        <v>152</v>
      </c>
    </row>
    <row r="32" spans="1:8" x14ac:dyDescent="0.25">
      <c r="A32" t="s">
        <v>153</v>
      </c>
      <c r="B32" t="s">
        <v>154</v>
      </c>
      <c r="C32" t="s">
        <v>10</v>
      </c>
      <c r="D32" t="str">
        <f>IFERROR(VLOOKUP($C$32,'Tantárgyi adatok'!B:D,2,FALSE),"nincs")</f>
        <v>Diplomatervezési</v>
      </c>
      <c r="E32" t="str">
        <f>IFERROR(VLOOKUP($C$32,'Tantárgyi adatok'!B:D,3,FALSE),"nincs")</f>
        <v>Villamosmérnök</v>
      </c>
      <c r="F32" t="s">
        <v>1335</v>
      </c>
      <c r="H32" t="s">
        <v>155</v>
      </c>
    </row>
    <row r="33" spans="1:8" x14ac:dyDescent="0.25">
      <c r="A33" t="s">
        <v>156</v>
      </c>
      <c r="B33" t="s">
        <v>157</v>
      </c>
      <c r="C33" t="s">
        <v>10</v>
      </c>
      <c r="D33" t="str">
        <f>IFERROR(VLOOKUP($C$33,'Tantárgyi adatok'!B:D,2,FALSE),"nincs")</f>
        <v>Diplomatervezési</v>
      </c>
      <c r="E33" t="str">
        <f>IFERROR(VLOOKUP($C$33,'Tantárgyi adatok'!B:D,3,FALSE),"nincs")</f>
        <v>Villamosmérnök</v>
      </c>
      <c r="F33" t="s">
        <v>1336</v>
      </c>
      <c r="H33" t="s">
        <v>158</v>
      </c>
    </row>
    <row r="34" spans="1:8" x14ac:dyDescent="0.25">
      <c r="A34" t="s">
        <v>159</v>
      </c>
      <c r="B34" t="s">
        <v>160</v>
      </c>
      <c r="C34" t="s">
        <v>10</v>
      </c>
      <c r="D34" t="str">
        <f>IFERROR(VLOOKUP($C$34,'Tantárgyi adatok'!B:D,2,FALSE),"nincs")</f>
        <v>Diplomatervezési</v>
      </c>
      <c r="E34" t="str">
        <f>IFERROR(VLOOKUP($C$34,'Tantárgyi adatok'!B:D,3,FALSE),"nincs")</f>
        <v>Villamosmérnök</v>
      </c>
      <c r="F34" t="s">
        <v>1337</v>
      </c>
      <c r="H34" t="s">
        <v>161</v>
      </c>
    </row>
    <row r="35" spans="1:8" x14ac:dyDescent="0.25">
      <c r="A35" t="s">
        <v>162</v>
      </c>
      <c r="B35" t="s">
        <v>163</v>
      </c>
      <c r="C35" t="s">
        <v>12</v>
      </c>
      <c r="D35">
        <f>IFERROR(VLOOKUP($C$35,'Tantárgyi adatok'!B:D,2,FALSE),"nincs")</f>
        <v>0</v>
      </c>
      <c r="E35">
        <f>IFERROR(VLOOKUP($C$35,'Tantárgyi adatok'!B:D,3,FALSE),"nincs")</f>
        <v>0</v>
      </c>
      <c r="F35" t="s">
        <v>1315</v>
      </c>
      <c r="H35" t="s">
        <v>164</v>
      </c>
    </row>
    <row r="36" spans="1:8" x14ac:dyDescent="0.25">
      <c r="A36" t="s">
        <v>165</v>
      </c>
      <c r="B36" t="s">
        <v>166</v>
      </c>
      <c r="C36" t="s">
        <v>12</v>
      </c>
      <c r="D36">
        <f>IFERROR(VLOOKUP($C$36,'Tantárgyi adatok'!B:D,2,FALSE),"nincs")</f>
        <v>0</v>
      </c>
      <c r="E36">
        <f>IFERROR(VLOOKUP($C$36,'Tantárgyi adatok'!B:D,3,FALSE),"nincs")</f>
        <v>0</v>
      </c>
      <c r="F36" t="s">
        <v>1318</v>
      </c>
      <c r="H36" t="s">
        <v>167</v>
      </c>
    </row>
    <row r="37" spans="1:8" x14ac:dyDescent="0.25">
      <c r="A37" t="s">
        <v>168</v>
      </c>
      <c r="B37" t="s">
        <v>169</v>
      </c>
      <c r="C37" t="s">
        <v>12</v>
      </c>
      <c r="D37">
        <f>IFERROR(VLOOKUP($C$37,'Tantárgyi adatok'!B:D,2,FALSE),"nincs")</f>
        <v>0</v>
      </c>
      <c r="E37">
        <f>IFERROR(VLOOKUP($C$37,'Tantárgyi adatok'!B:D,3,FALSE),"nincs")</f>
        <v>0</v>
      </c>
      <c r="F37" t="s">
        <v>1338</v>
      </c>
      <c r="H37" t="s">
        <v>170</v>
      </c>
    </row>
    <row r="38" spans="1:8" x14ac:dyDescent="0.25">
      <c r="A38" t="s">
        <v>171</v>
      </c>
      <c r="B38" t="s">
        <v>172</v>
      </c>
      <c r="C38" t="s">
        <v>12</v>
      </c>
      <c r="D38">
        <f>IFERROR(VLOOKUP($C$38,'Tantárgyi adatok'!B:D,2,FALSE),"nincs")</f>
        <v>0</v>
      </c>
      <c r="E38">
        <f>IFERROR(VLOOKUP($C$38,'Tantárgyi adatok'!B:D,3,FALSE),"nincs")</f>
        <v>0</v>
      </c>
      <c r="F38" t="s">
        <v>1339</v>
      </c>
      <c r="H38" t="s">
        <v>173</v>
      </c>
    </row>
    <row r="39" spans="1:8" x14ac:dyDescent="0.25">
      <c r="A39" t="s">
        <v>174</v>
      </c>
      <c r="B39" t="s">
        <v>175</v>
      </c>
      <c r="C39" t="s">
        <v>12</v>
      </c>
      <c r="D39">
        <f>IFERROR(VLOOKUP($C$39,'Tantárgyi adatok'!B:D,2,FALSE),"nincs")</f>
        <v>0</v>
      </c>
      <c r="E39">
        <f>IFERROR(VLOOKUP($C$39,'Tantárgyi adatok'!B:D,3,FALSE),"nincs")</f>
        <v>0</v>
      </c>
      <c r="F39" t="s">
        <v>1317</v>
      </c>
      <c r="H39" t="s">
        <v>176</v>
      </c>
    </row>
    <row r="40" spans="1:8" x14ac:dyDescent="0.25">
      <c r="A40" t="s">
        <v>177</v>
      </c>
      <c r="B40" t="s">
        <v>178</v>
      </c>
      <c r="C40" t="s">
        <v>12</v>
      </c>
      <c r="D40">
        <f>IFERROR(VLOOKUP($C$40,'Tantárgyi adatok'!B:D,2,FALSE),"nincs")</f>
        <v>0</v>
      </c>
      <c r="E40">
        <f>IFERROR(VLOOKUP($C$40,'Tantárgyi adatok'!B:D,3,FALSE),"nincs")</f>
        <v>0</v>
      </c>
      <c r="F40" t="s">
        <v>1340</v>
      </c>
      <c r="H40" t="s">
        <v>179</v>
      </c>
    </row>
    <row r="41" spans="1:8" x14ac:dyDescent="0.25">
      <c r="A41" t="s">
        <v>180</v>
      </c>
      <c r="B41" t="s">
        <v>181</v>
      </c>
      <c r="C41" t="s">
        <v>12</v>
      </c>
      <c r="D41">
        <f>IFERROR(VLOOKUP($C$41,'Tantárgyi adatok'!B:D,2,FALSE),"nincs")</f>
        <v>0</v>
      </c>
      <c r="E41">
        <f>IFERROR(VLOOKUP($C$41,'Tantárgyi adatok'!B:D,3,FALSE),"nincs")</f>
        <v>0</v>
      </c>
      <c r="F41" t="s">
        <v>1341</v>
      </c>
      <c r="H41" t="s">
        <v>182</v>
      </c>
    </row>
    <row r="42" spans="1:8" x14ac:dyDescent="0.25">
      <c r="A42" t="s">
        <v>183</v>
      </c>
      <c r="B42" t="s">
        <v>184</v>
      </c>
      <c r="C42" t="s">
        <v>12</v>
      </c>
      <c r="D42">
        <f>IFERROR(VLOOKUP($C$42,'Tantárgyi adatok'!B:D,2,FALSE),"nincs")</f>
        <v>0</v>
      </c>
      <c r="E42">
        <f>IFERROR(VLOOKUP($C$42,'Tantárgyi adatok'!B:D,3,FALSE),"nincs")</f>
        <v>0</v>
      </c>
      <c r="F42" t="s">
        <v>1341</v>
      </c>
      <c r="H42" t="s">
        <v>185</v>
      </c>
    </row>
    <row r="43" spans="1:8" x14ac:dyDescent="0.25">
      <c r="A43" t="s">
        <v>186</v>
      </c>
      <c r="B43" t="s">
        <v>187</v>
      </c>
      <c r="C43" t="s">
        <v>12</v>
      </c>
      <c r="D43">
        <f>IFERROR(VLOOKUP($C$43,'Tantárgyi adatok'!B:D,2,FALSE),"nincs")</f>
        <v>0</v>
      </c>
      <c r="E43">
        <f>IFERROR(VLOOKUP($C$43,'Tantárgyi adatok'!B:D,3,FALSE),"nincs")</f>
        <v>0</v>
      </c>
      <c r="F43" t="s">
        <v>1317</v>
      </c>
      <c r="H43" t="s">
        <v>188</v>
      </c>
    </row>
    <row r="44" spans="1:8" x14ac:dyDescent="0.25">
      <c r="A44" t="s">
        <v>189</v>
      </c>
      <c r="B44" t="s">
        <v>190</v>
      </c>
      <c r="C44" t="s">
        <v>12</v>
      </c>
      <c r="D44">
        <f>IFERROR(VLOOKUP($C$44,'Tantárgyi adatok'!B:D,2,FALSE),"nincs")</f>
        <v>0</v>
      </c>
      <c r="E44">
        <f>IFERROR(VLOOKUP($C$44,'Tantárgyi adatok'!B:D,3,FALSE),"nincs")</f>
        <v>0</v>
      </c>
      <c r="F44" t="s">
        <v>1338</v>
      </c>
      <c r="H44" t="s">
        <v>191</v>
      </c>
    </row>
    <row r="45" spans="1:8" x14ac:dyDescent="0.25">
      <c r="A45" t="s">
        <v>192</v>
      </c>
      <c r="B45" t="s">
        <v>193</v>
      </c>
      <c r="C45" t="s">
        <v>12</v>
      </c>
      <c r="D45">
        <f>IFERROR(VLOOKUP($C$45,'Tantárgyi adatok'!B:D,2,FALSE),"nincs")</f>
        <v>0</v>
      </c>
      <c r="E45">
        <f>IFERROR(VLOOKUP($C$45,'Tantárgyi adatok'!B:D,3,FALSE),"nincs")</f>
        <v>0</v>
      </c>
      <c r="F45" t="s">
        <v>1325</v>
      </c>
      <c r="H45" t="s">
        <v>194</v>
      </c>
    </row>
    <row r="46" spans="1:8" x14ac:dyDescent="0.25">
      <c r="A46" t="s">
        <v>195</v>
      </c>
      <c r="B46" t="s">
        <v>196</v>
      </c>
      <c r="C46" t="s">
        <v>12</v>
      </c>
      <c r="D46">
        <f>IFERROR(VLOOKUP($C$46,'Tantárgyi adatok'!B:D,2,FALSE),"nincs")</f>
        <v>0</v>
      </c>
      <c r="E46">
        <f>IFERROR(VLOOKUP($C$46,'Tantárgyi adatok'!B:D,3,FALSE),"nincs")</f>
        <v>0</v>
      </c>
      <c r="F46" t="s">
        <v>1342</v>
      </c>
      <c r="H46" t="s">
        <v>197</v>
      </c>
    </row>
    <row r="47" spans="1:8" x14ac:dyDescent="0.25">
      <c r="A47" t="s">
        <v>198</v>
      </c>
      <c r="B47" t="s">
        <v>199</v>
      </c>
      <c r="C47" t="s">
        <v>12</v>
      </c>
      <c r="D47">
        <f>IFERROR(VLOOKUP($C$47,'Tantárgyi adatok'!B:D,2,FALSE),"nincs")</f>
        <v>0</v>
      </c>
      <c r="E47">
        <f>IFERROR(VLOOKUP($C$47,'Tantárgyi adatok'!B:D,3,FALSE),"nincs")</f>
        <v>0</v>
      </c>
      <c r="F47" t="s">
        <v>1323</v>
      </c>
      <c r="H47" t="s">
        <v>200</v>
      </c>
    </row>
    <row r="48" spans="1:8" x14ac:dyDescent="0.25">
      <c r="A48" t="s">
        <v>201</v>
      </c>
      <c r="B48" t="s">
        <v>202</v>
      </c>
      <c r="C48" t="s">
        <v>12</v>
      </c>
      <c r="D48">
        <f>IFERROR(VLOOKUP($C$48,'Tantárgyi adatok'!B:D,2,FALSE),"nincs")</f>
        <v>0</v>
      </c>
      <c r="E48">
        <f>IFERROR(VLOOKUP($C$48,'Tantárgyi adatok'!B:D,3,FALSE),"nincs")</f>
        <v>0</v>
      </c>
      <c r="F48" t="s">
        <v>1343</v>
      </c>
      <c r="H48" t="s">
        <v>203</v>
      </c>
    </row>
    <row r="49" spans="1:8" x14ac:dyDescent="0.25">
      <c r="A49" t="s">
        <v>204</v>
      </c>
      <c r="B49" t="s">
        <v>205</v>
      </c>
      <c r="C49" t="s">
        <v>12</v>
      </c>
      <c r="D49">
        <f>IFERROR(VLOOKUP($C$49,'Tantárgyi adatok'!B:D,2,FALSE),"nincs")</f>
        <v>0</v>
      </c>
      <c r="E49">
        <f>IFERROR(VLOOKUP($C$49,'Tantárgyi adatok'!B:D,3,FALSE),"nincs")</f>
        <v>0</v>
      </c>
      <c r="F49" t="s">
        <v>1344</v>
      </c>
      <c r="H49" t="s">
        <v>206</v>
      </c>
    </row>
    <row r="50" spans="1:8" x14ac:dyDescent="0.25">
      <c r="A50" t="s">
        <v>207</v>
      </c>
      <c r="B50" t="s">
        <v>208</v>
      </c>
      <c r="C50" t="s">
        <v>12</v>
      </c>
      <c r="D50">
        <f>IFERROR(VLOOKUP($C$50,'Tantárgyi adatok'!B:D,2,FALSE),"nincs")</f>
        <v>0</v>
      </c>
      <c r="E50">
        <f>IFERROR(VLOOKUP($C$50,'Tantárgyi adatok'!B:D,3,FALSE),"nincs")</f>
        <v>0</v>
      </c>
      <c r="F50" t="s">
        <v>1316</v>
      </c>
      <c r="H50" t="s">
        <v>209</v>
      </c>
    </row>
    <row r="51" spans="1:8" x14ac:dyDescent="0.25">
      <c r="A51" t="s">
        <v>210</v>
      </c>
      <c r="B51" t="s">
        <v>211</v>
      </c>
      <c r="C51" t="s">
        <v>12</v>
      </c>
      <c r="D51">
        <f>IFERROR(VLOOKUP($C$51,'Tantárgyi adatok'!B:D,2,FALSE),"nincs")</f>
        <v>0</v>
      </c>
      <c r="E51">
        <f>IFERROR(VLOOKUP($C$51,'Tantárgyi adatok'!B:D,3,FALSE),"nincs")</f>
        <v>0</v>
      </c>
      <c r="F51" t="s">
        <v>1345</v>
      </c>
      <c r="H51" t="s">
        <v>212</v>
      </c>
    </row>
    <row r="52" spans="1:8" x14ac:dyDescent="0.25">
      <c r="A52" t="s">
        <v>213</v>
      </c>
      <c r="B52" t="s">
        <v>214</v>
      </c>
      <c r="C52" t="s">
        <v>12</v>
      </c>
      <c r="D52">
        <f>IFERROR(VLOOKUP($C$52,'Tantárgyi adatok'!B:D,2,FALSE),"nincs")</f>
        <v>0</v>
      </c>
      <c r="E52">
        <f>IFERROR(VLOOKUP($C$52,'Tantárgyi adatok'!B:D,3,FALSE),"nincs")</f>
        <v>0</v>
      </c>
      <c r="F52" t="s">
        <v>1346</v>
      </c>
      <c r="H52" t="s">
        <v>215</v>
      </c>
    </row>
    <row r="53" spans="1:8" x14ac:dyDescent="0.25">
      <c r="A53" t="s">
        <v>216</v>
      </c>
      <c r="B53" t="s">
        <v>217</v>
      </c>
      <c r="C53" t="s">
        <v>12</v>
      </c>
      <c r="D53">
        <f>IFERROR(VLOOKUP($C$53,'Tantárgyi adatok'!B:D,2,FALSE),"nincs")</f>
        <v>0</v>
      </c>
      <c r="E53">
        <f>IFERROR(VLOOKUP($C$53,'Tantárgyi adatok'!B:D,3,FALSE),"nincs")</f>
        <v>0</v>
      </c>
      <c r="F53" t="s">
        <v>1344</v>
      </c>
      <c r="H53" t="s">
        <v>218</v>
      </c>
    </row>
    <row r="54" spans="1:8" x14ac:dyDescent="0.25">
      <c r="A54" t="s">
        <v>219</v>
      </c>
      <c r="B54" t="s">
        <v>220</v>
      </c>
      <c r="C54" t="s">
        <v>12</v>
      </c>
      <c r="D54">
        <f>IFERROR(VLOOKUP($C$54,'Tantárgyi adatok'!B:D,2,FALSE),"nincs")</f>
        <v>0</v>
      </c>
      <c r="E54">
        <f>IFERROR(VLOOKUP($C$54,'Tantárgyi adatok'!B:D,3,FALSE),"nincs")</f>
        <v>0</v>
      </c>
      <c r="F54" t="s">
        <v>1344</v>
      </c>
      <c r="H54" t="s">
        <v>221</v>
      </c>
    </row>
    <row r="55" spans="1:8" x14ac:dyDescent="0.25">
      <c r="A55" t="s">
        <v>222</v>
      </c>
      <c r="B55" t="s">
        <v>223</v>
      </c>
      <c r="C55" t="s">
        <v>12</v>
      </c>
      <c r="D55">
        <f>IFERROR(VLOOKUP($C$55,'Tantárgyi adatok'!B:D,2,FALSE),"nincs")</f>
        <v>0</v>
      </c>
      <c r="E55">
        <f>IFERROR(VLOOKUP($C$55,'Tantárgyi adatok'!B:D,3,FALSE),"nincs")</f>
        <v>0</v>
      </c>
      <c r="F55" t="s">
        <v>1347</v>
      </c>
      <c r="H55" t="s">
        <v>224</v>
      </c>
    </row>
    <row r="56" spans="1:8" x14ac:dyDescent="0.25">
      <c r="A56" t="s">
        <v>225</v>
      </c>
      <c r="B56" t="s">
        <v>226</v>
      </c>
      <c r="C56" t="s">
        <v>12</v>
      </c>
      <c r="D56">
        <f>IFERROR(VLOOKUP($C$56,'Tantárgyi adatok'!B:D,2,FALSE),"nincs")</f>
        <v>0</v>
      </c>
      <c r="E56">
        <f>IFERROR(VLOOKUP($C$56,'Tantárgyi adatok'!B:D,3,FALSE),"nincs")</f>
        <v>0</v>
      </c>
      <c r="F56" t="s">
        <v>1344</v>
      </c>
      <c r="H56" t="s">
        <v>227</v>
      </c>
    </row>
    <row r="57" spans="1:8" x14ac:dyDescent="0.25">
      <c r="A57" t="s">
        <v>228</v>
      </c>
      <c r="B57" t="s">
        <v>229</v>
      </c>
      <c r="C57" t="s">
        <v>12</v>
      </c>
      <c r="D57">
        <f>IFERROR(VLOOKUP($C$57,'Tantárgyi adatok'!B:D,2,FALSE),"nincs")</f>
        <v>0</v>
      </c>
      <c r="E57">
        <f>IFERROR(VLOOKUP($C$57,'Tantárgyi adatok'!B:D,3,FALSE),"nincs")</f>
        <v>0</v>
      </c>
      <c r="F57" t="s">
        <v>1316</v>
      </c>
      <c r="H57" t="s">
        <v>230</v>
      </c>
    </row>
    <row r="58" spans="1:8" x14ac:dyDescent="0.25">
      <c r="A58" t="s">
        <v>231</v>
      </c>
      <c r="B58" t="s">
        <v>232</v>
      </c>
      <c r="C58" t="s">
        <v>12</v>
      </c>
      <c r="D58">
        <f>IFERROR(VLOOKUP($C$58,'Tantárgyi adatok'!B:D,2,FALSE),"nincs")</f>
        <v>0</v>
      </c>
      <c r="E58">
        <f>IFERROR(VLOOKUP($C$58,'Tantárgyi adatok'!B:D,3,FALSE),"nincs")</f>
        <v>0</v>
      </c>
      <c r="F58" t="s">
        <v>1323</v>
      </c>
      <c r="H58" t="s">
        <v>233</v>
      </c>
    </row>
    <row r="59" spans="1:8" x14ac:dyDescent="0.25">
      <c r="A59" t="s">
        <v>234</v>
      </c>
      <c r="B59" t="s">
        <v>235</v>
      </c>
      <c r="C59" t="s">
        <v>12</v>
      </c>
      <c r="D59">
        <f>IFERROR(VLOOKUP($C$59,'Tantárgyi adatok'!B:D,2,FALSE),"nincs")</f>
        <v>0</v>
      </c>
      <c r="E59">
        <f>IFERROR(VLOOKUP($C$59,'Tantárgyi adatok'!B:D,3,FALSE),"nincs")</f>
        <v>0</v>
      </c>
      <c r="F59" t="s">
        <v>1321</v>
      </c>
      <c r="H59" t="s">
        <v>236</v>
      </c>
    </row>
    <row r="60" spans="1:8" x14ac:dyDescent="0.25">
      <c r="A60" t="s">
        <v>237</v>
      </c>
      <c r="B60" t="s">
        <v>238</v>
      </c>
      <c r="C60" t="s">
        <v>12</v>
      </c>
      <c r="D60">
        <f>IFERROR(VLOOKUP($C$60,'Tantárgyi adatok'!B:D,2,FALSE),"nincs")</f>
        <v>0</v>
      </c>
      <c r="E60">
        <f>IFERROR(VLOOKUP($C$60,'Tantárgyi adatok'!B:D,3,FALSE),"nincs")</f>
        <v>0</v>
      </c>
      <c r="F60" t="s">
        <v>1108</v>
      </c>
      <c r="H60" t="s">
        <v>239</v>
      </c>
    </row>
    <row r="61" spans="1:8" x14ac:dyDescent="0.25">
      <c r="A61" t="s">
        <v>240</v>
      </c>
      <c r="B61" t="s">
        <v>241</v>
      </c>
      <c r="C61" t="s">
        <v>12</v>
      </c>
      <c r="D61">
        <f>IFERROR(VLOOKUP($C$61,'Tantárgyi adatok'!B:D,2,FALSE),"nincs")</f>
        <v>0</v>
      </c>
      <c r="E61">
        <f>IFERROR(VLOOKUP($C$61,'Tantárgyi adatok'!B:D,3,FALSE),"nincs")</f>
        <v>0</v>
      </c>
      <c r="F61" t="s">
        <v>1348</v>
      </c>
      <c r="H61" t="s">
        <v>242</v>
      </c>
    </row>
    <row r="62" spans="1:8" x14ac:dyDescent="0.25">
      <c r="A62" t="s">
        <v>243</v>
      </c>
      <c r="B62" t="s">
        <v>244</v>
      </c>
      <c r="C62" t="s">
        <v>12</v>
      </c>
      <c r="D62">
        <f>IFERROR(VLOOKUP($C$62,'Tantárgyi adatok'!B:D,2,FALSE),"nincs")</f>
        <v>0</v>
      </c>
      <c r="E62">
        <f>IFERROR(VLOOKUP($C$62,'Tantárgyi adatok'!B:D,3,FALSE),"nincs")</f>
        <v>0</v>
      </c>
      <c r="F62" t="s">
        <v>1318</v>
      </c>
      <c r="H62" t="s">
        <v>245</v>
      </c>
    </row>
    <row r="63" spans="1:8" x14ac:dyDescent="0.25">
      <c r="A63" t="s">
        <v>246</v>
      </c>
      <c r="B63" t="s">
        <v>247</v>
      </c>
      <c r="C63" t="s">
        <v>12</v>
      </c>
      <c r="D63">
        <f>IFERROR(VLOOKUP($C$63,'Tantárgyi adatok'!B:D,2,FALSE),"nincs")</f>
        <v>0</v>
      </c>
      <c r="E63">
        <f>IFERROR(VLOOKUP($C$63,'Tantárgyi adatok'!B:D,3,FALSE),"nincs")</f>
        <v>0</v>
      </c>
      <c r="F63" t="s">
        <v>1318</v>
      </c>
      <c r="H63" t="s">
        <v>248</v>
      </c>
    </row>
    <row r="64" spans="1:8" x14ac:dyDescent="0.25">
      <c r="A64" t="s">
        <v>249</v>
      </c>
      <c r="B64" t="s">
        <v>250</v>
      </c>
      <c r="C64" t="s">
        <v>12</v>
      </c>
      <c r="D64">
        <f>IFERROR(VLOOKUP($C$64,'Tantárgyi adatok'!B:D,2,FALSE),"nincs")</f>
        <v>0</v>
      </c>
      <c r="E64">
        <f>IFERROR(VLOOKUP($C$64,'Tantárgyi adatok'!B:D,3,FALSE),"nincs")</f>
        <v>0</v>
      </c>
      <c r="F64" t="s">
        <v>1323</v>
      </c>
      <c r="H64" t="s">
        <v>251</v>
      </c>
    </row>
    <row r="65" spans="1:8" x14ac:dyDescent="0.25">
      <c r="A65" t="s">
        <v>252</v>
      </c>
      <c r="B65" t="s">
        <v>253</v>
      </c>
      <c r="C65" t="s">
        <v>12</v>
      </c>
      <c r="D65">
        <f>IFERROR(VLOOKUP($C$65,'Tantárgyi adatok'!B:D,2,FALSE),"nincs")</f>
        <v>0</v>
      </c>
      <c r="E65">
        <f>IFERROR(VLOOKUP($C$65,'Tantárgyi adatok'!B:D,3,FALSE),"nincs")</f>
        <v>0</v>
      </c>
      <c r="F65" t="s">
        <v>1323</v>
      </c>
      <c r="H65" t="s">
        <v>254</v>
      </c>
    </row>
    <row r="66" spans="1:8" x14ac:dyDescent="0.25">
      <c r="A66" t="s">
        <v>255</v>
      </c>
      <c r="B66" t="s">
        <v>256</v>
      </c>
      <c r="C66" t="s">
        <v>12</v>
      </c>
      <c r="D66">
        <f>IFERROR(VLOOKUP($C$66,'Tantárgyi adatok'!B:D,2,FALSE),"nincs")</f>
        <v>0</v>
      </c>
      <c r="E66">
        <f>IFERROR(VLOOKUP($C$66,'Tantárgyi adatok'!B:D,3,FALSE),"nincs")</f>
        <v>0</v>
      </c>
      <c r="F66" t="s">
        <v>1324</v>
      </c>
      <c r="H66" t="s">
        <v>257</v>
      </c>
    </row>
    <row r="67" spans="1:8" x14ac:dyDescent="0.25">
      <c r="A67" t="s">
        <v>258</v>
      </c>
      <c r="B67" t="s">
        <v>259</v>
      </c>
      <c r="C67" t="s">
        <v>12</v>
      </c>
      <c r="D67">
        <f>IFERROR(VLOOKUP($C$67,'Tantárgyi adatok'!B:D,2,FALSE),"nincs")</f>
        <v>0</v>
      </c>
      <c r="E67">
        <f>IFERROR(VLOOKUP($C$67,'Tantárgyi adatok'!B:D,3,FALSE),"nincs")</f>
        <v>0</v>
      </c>
      <c r="F67" t="s">
        <v>1316</v>
      </c>
      <c r="H67" t="s">
        <v>260</v>
      </c>
    </row>
    <row r="68" spans="1:8" x14ac:dyDescent="0.25">
      <c r="A68" t="s">
        <v>261</v>
      </c>
      <c r="B68" t="s">
        <v>262</v>
      </c>
      <c r="C68" t="s">
        <v>12</v>
      </c>
      <c r="D68">
        <f>IFERROR(VLOOKUP($C$68,'Tantárgyi adatok'!B:D,2,FALSE),"nincs")</f>
        <v>0</v>
      </c>
      <c r="E68">
        <f>IFERROR(VLOOKUP($C$68,'Tantárgyi adatok'!B:D,3,FALSE),"nincs")</f>
        <v>0</v>
      </c>
      <c r="F68" t="s">
        <v>1316</v>
      </c>
      <c r="H68" t="s">
        <v>263</v>
      </c>
    </row>
    <row r="69" spans="1:8" x14ac:dyDescent="0.25">
      <c r="A69" t="s">
        <v>264</v>
      </c>
      <c r="B69" t="s">
        <v>265</v>
      </c>
      <c r="C69" t="s">
        <v>12</v>
      </c>
      <c r="D69">
        <f>IFERROR(VLOOKUP($C$69,'Tantárgyi adatok'!B:D,2,FALSE),"nincs")</f>
        <v>0</v>
      </c>
      <c r="E69">
        <f>IFERROR(VLOOKUP($C$69,'Tantárgyi adatok'!B:D,3,FALSE),"nincs")</f>
        <v>0</v>
      </c>
      <c r="F69" t="s">
        <v>1316</v>
      </c>
      <c r="H69" t="s">
        <v>266</v>
      </c>
    </row>
    <row r="70" spans="1:8" x14ac:dyDescent="0.25">
      <c r="A70" t="s">
        <v>267</v>
      </c>
      <c r="B70" t="s">
        <v>268</v>
      </c>
      <c r="C70" t="s">
        <v>12</v>
      </c>
      <c r="D70">
        <f>IFERROR(VLOOKUP($C$70,'Tantárgyi adatok'!B:D,2,FALSE),"nincs")</f>
        <v>0</v>
      </c>
      <c r="E70">
        <f>IFERROR(VLOOKUP($C$70,'Tantárgyi adatok'!B:D,3,FALSE),"nincs")</f>
        <v>0</v>
      </c>
      <c r="F70" t="s">
        <v>1316</v>
      </c>
      <c r="H70" t="s">
        <v>269</v>
      </c>
    </row>
    <row r="71" spans="1:8" x14ac:dyDescent="0.25">
      <c r="A71" t="s">
        <v>270</v>
      </c>
      <c r="B71" t="s">
        <v>271</v>
      </c>
      <c r="C71" t="s">
        <v>12</v>
      </c>
      <c r="D71">
        <f>IFERROR(VLOOKUP($C$71,'Tantárgyi adatok'!B:D,2,FALSE),"nincs")</f>
        <v>0</v>
      </c>
      <c r="E71">
        <f>IFERROR(VLOOKUP($C$71,'Tantárgyi adatok'!B:D,3,FALSE),"nincs")</f>
        <v>0</v>
      </c>
      <c r="F71" t="s">
        <v>1349</v>
      </c>
      <c r="H71" t="s">
        <v>272</v>
      </c>
    </row>
    <row r="72" spans="1:8" x14ac:dyDescent="0.25">
      <c r="A72" t="s">
        <v>273</v>
      </c>
      <c r="B72" t="s">
        <v>274</v>
      </c>
      <c r="C72" t="s">
        <v>12</v>
      </c>
      <c r="D72">
        <f>IFERROR(VLOOKUP($C$72,'Tantárgyi adatok'!B:D,2,FALSE),"nincs")</f>
        <v>0</v>
      </c>
      <c r="E72">
        <f>IFERROR(VLOOKUP($C$72,'Tantárgyi adatok'!B:D,3,FALSE),"nincs")</f>
        <v>0</v>
      </c>
      <c r="F72" t="s">
        <v>1315</v>
      </c>
      <c r="H72" t="s">
        <v>275</v>
      </c>
    </row>
    <row r="73" spans="1:8" x14ac:dyDescent="0.25">
      <c r="A73" t="s">
        <v>276</v>
      </c>
      <c r="B73" t="s">
        <v>277</v>
      </c>
      <c r="C73" t="s">
        <v>12</v>
      </c>
      <c r="D73">
        <f>IFERROR(VLOOKUP($C$73,'Tantárgyi adatok'!B:D,2,FALSE),"nincs")</f>
        <v>0</v>
      </c>
      <c r="E73">
        <f>IFERROR(VLOOKUP($C$73,'Tantárgyi adatok'!B:D,3,FALSE),"nincs")</f>
        <v>0</v>
      </c>
      <c r="F73" t="s">
        <v>1315</v>
      </c>
      <c r="H73" t="s">
        <v>278</v>
      </c>
    </row>
    <row r="74" spans="1:8" x14ac:dyDescent="0.25">
      <c r="A74" t="s">
        <v>279</v>
      </c>
      <c r="B74" t="s">
        <v>280</v>
      </c>
      <c r="C74" t="s">
        <v>12</v>
      </c>
      <c r="D74">
        <f>IFERROR(VLOOKUP($C$74,'Tantárgyi adatok'!B:D,2,FALSE),"nincs")</f>
        <v>0</v>
      </c>
      <c r="E74">
        <f>IFERROR(VLOOKUP($C$74,'Tantárgyi adatok'!B:D,3,FALSE),"nincs")</f>
        <v>0</v>
      </c>
      <c r="F74" t="s">
        <v>1315</v>
      </c>
      <c r="H74" t="s">
        <v>281</v>
      </c>
    </row>
    <row r="75" spans="1:8" x14ac:dyDescent="0.25">
      <c r="A75" t="s">
        <v>282</v>
      </c>
      <c r="B75" t="s">
        <v>283</v>
      </c>
      <c r="C75" t="s">
        <v>12</v>
      </c>
      <c r="D75">
        <f>IFERROR(VLOOKUP($C$75,'Tantárgyi adatok'!B:D,2,FALSE),"nincs")</f>
        <v>0</v>
      </c>
      <c r="E75">
        <f>IFERROR(VLOOKUP($C$75,'Tantárgyi adatok'!B:D,3,FALSE),"nincs")</f>
        <v>0</v>
      </c>
      <c r="F75" t="s">
        <v>1315</v>
      </c>
      <c r="H75" t="s">
        <v>284</v>
      </c>
    </row>
    <row r="76" spans="1:8" x14ac:dyDescent="0.25">
      <c r="A76" t="s">
        <v>285</v>
      </c>
      <c r="B76" t="s">
        <v>286</v>
      </c>
      <c r="C76" t="s">
        <v>12</v>
      </c>
      <c r="D76">
        <f>IFERROR(VLOOKUP($C$76,'Tantárgyi adatok'!B:D,2,FALSE),"nincs")</f>
        <v>0</v>
      </c>
      <c r="E76">
        <f>IFERROR(VLOOKUP($C$76,'Tantárgyi adatok'!B:D,3,FALSE),"nincs")</f>
        <v>0</v>
      </c>
      <c r="F76" t="s">
        <v>1315</v>
      </c>
      <c r="H76" t="s">
        <v>287</v>
      </c>
    </row>
    <row r="77" spans="1:8" x14ac:dyDescent="0.25">
      <c r="A77" t="s">
        <v>288</v>
      </c>
      <c r="B77" t="s">
        <v>289</v>
      </c>
      <c r="C77" t="s">
        <v>12</v>
      </c>
      <c r="D77">
        <f>IFERROR(VLOOKUP($C$77,'Tantárgyi adatok'!B:D,2,FALSE),"nincs")</f>
        <v>0</v>
      </c>
      <c r="E77">
        <f>IFERROR(VLOOKUP($C$77,'Tantárgyi adatok'!B:D,3,FALSE),"nincs")</f>
        <v>0</v>
      </c>
      <c r="F77" t="s">
        <v>1321</v>
      </c>
      <c r="H77" t="s">
        <v>290</v>
      </c>
    </row>
    <row r="78" spans="1:8" x14ac:dyDescent="0.25">
      <c r="A78" t="s">
        <v>291</v>
      </c>
      <c r="B78" t="s">
        <v>292</v>
      </c>
      <c r="C78" t="s">
        <v>12</v>
      </c>
      <c r="D78">
        <f>IFERROR(VLOOKUP($C$78,'Tantárgyi adatok'!B:D,2,FALSE),"nincs")</f>
        <v>0</v>
      </c>
      <c r="E78">
        <f>IFERROR(VLOOKUP($C$78,'Tantárgyi adatok'!B:D,3,FALSE),"nincs")</f>
        <v>0</v>
      </c>
      <c r="F78" t="s">
        <v>1316</v>
      </c>
      <c r="H78" t="s">
        <v>293</v>
      </c>
    </row>
    <row r="79" spans="1:8" x14ac:dyDescent="0.25">
      <c r="A79" t="s">
        <v>294</v>
      </c>
      <c r="B79" t="s">
        <v>295</v>
      </c>
      <c r="C79" t="s">
        <v>12</v>
      </c>
      <c r="D79">
        <f>IFERROR(VLOOKUP($C$79,'Tantárgyi adatok'!B:D,2,FALSE),"nincs")</f>
        <v>0</v>
      </c>
      <c r="E79">
        <f>IFERROR(VLOOKUP($C$79,'Tantárgyi adatok'!B:D,3,FALSE),"nincs")</f>
        <v>0</v>
      </c>
      <c r="F79" t="s">
        <v>1328</v>
      </c>
      <c r="H79" t="s">
        <v>296</v>
      </c>
    </row>
    <row r="80" spans="1:8" x14ac:dyDescent="0.25">
      <c r="A80" t="s">
        <v>297</v>
      </c>
      <c r="B80" t="s">
        <v>298</v>
      </c>
      <c r="C80" t="s">
        <v>12</v>
      </c>
      <c r="D80">
        <f>IFERROR(VLOOKUP($C$80,'Tantárgyi adatok'!B:D,2,FALSE),"nincs")</f>
        <v>0</v>
      </c>
      <c r="E80">
        <f>IFERROR(VLOOKUP($C$80,'Tantárgyi adatok'!B:D,3,FALSE),"nincs")</f>
        <v>0</v>
      </c>
      <c r="F80" t="s">
        <v>1345</v>
      </c>
      <c r="H80" t="s">
        <v>299</v>
      </c>
    </row>
    <row r="81" spans="1:8" x14ac:dyDescent="0.25">
      <c r="A81" t="s">
        <v>300</v>
      </c>
      <c r="B81" t="s">
        <v>301</v>
      </c>
      <c r="C81" t="s">
        <v>12</v>
      </c>
      <c r="D81">
        <f>IFERROR(VLOOKUP($C$81,'Tantárgyi adatok'!B:D,2,FALSE),"nincs")</f>
        <v>0</v>
      </c>
      <c r="E81">
        <f>IFERROR(VLOOKUP($C$81,'Tantárgyi adatok'!B:D,3,FALSE),"nincs")</f>
        <v>0</v>
      </c>
      <c r="F81" t="s">
        <v>1346</v>
      </c>
      <c r="H81" t="s">
        <v>302</v>
      </c>
    </row>
    <row r="82" spans="1:8" x14ac:dyDescent="0.25">
      <c r="A82" t="s">
        <v>300</v>
      </c>
      <c r="B82" t="s">
        <v>301</v>
      </c>
      <c r="C82" t="s">
        <v>12</v>
      </c>
      <c r="D82">
        <f>IFERROR(VLOOKUP($C$82,'Tantárgyi adatok'!B:D,2,FALSE),"nincs")</f>
        <v>0</v>
      </c>
      <c r="E82">
        <f>IFERROR(VLOOKUP($C$82,'Tantárgyi adatok'!B:D,3,FALSE),"nincs")</f>
        <v>0</v>
      </c>
      <c r="F82" t="s">
        <v>1350</v>
      </c>
      <c r="H82" t="s">
        <v>302</v>
      </c>
    </row>
    <row r="83" spans="1:8" x14ac:dyDescent="0.25">
      <c r="A83" t="s">
        <v>303</v>
      </c>
      <c r="B83" t="s">
        <v>304</v>
      </c>
      <c r="C83" t="s">
        <v>12</v>
      </c>
      <c r="D83">
        <f>IFERROR(VLOOKUP($C$83,'Tantárgyi adatok'!B:D,2,FALSE),"nincs")</f>
        <v>0</v>
      </c>
      <c r="E83">
        <f>IFERROR(VLOOKUP($C$83,'Tantárgyi adatok'!B:D,3,FALSE),"nincs")</f>
        <v>0</v>
      </c>
      <c r="F83" t="s">
        <v>1318</v>
      </c>
      <c r="H83" t="s">
        <v>305</v>
      </c>
    </row>
    <row r="84" spans="1:8" x14ac:dyDescent="0.25">
      <c r="A84" t="s">
        <v>303</v>
      </c>
      <c r="B84" t="s">
        <v>304</v>
      </c>
      <c r="C84" t="s">
        <v>12</v>
      </c>
      <c r="D84">
        <f>IFERROR(VLOOKUP($C$84,'Tantárgyi adatok'!B:D,2,FALSE),"nincs")</f>
        <v>0</v>
      </c>
      <c r="E84">
        <f>IFERROR(VLOOKUP($C$84,'Tantárgyi adatok'!B:D,3,FALSE),"nincs")</f>
        <v>0</v>
      </c>
      <c r="F84" t="s">
        <v>1316</v>
      </c>
      <c r="H84" t="s">
        <v>305</v>
      </c>
    </row>
    <row r="85" spans="1:8" x14ac:dyDescent="0.25">
      <c r="A85" t="s">
        <v>306</v>
      </c>
      <c r="B85" t="s">
        <v>307</v>
      </c>
      <c r="C85" t="s">
        <v>12</v>
      </c>
      <c r="D85">
        <f>IFERROR(VLOOKUP($C$85,'Tantárgyi adatok'!B:D,2,FALSE),"nincs")</f>
        <v>0</v>
      </c>
      <c r="E85">
        <f>IFERROR(VLOOKUP($C$85,'Tantárgyi adatok'!B:D,3,FALSE),"nincs")</f>
        <v>0</v>
      </c>
      <c r="F85" t="s">
        <v>1345</v>
      </c>
      <c r="H85" t="s">
        <v>308</v>
      </c>
    </row>
    <row r="86" spans="1:8" x14ac:dyDescent="0.25">
      <c r="A86" t="s">
        <v>309</v>
      </c>
      <c r="B86" t="s">
        <v>310</v>
      </c>
      <c r="C86" t="s">
        <v>12</v>
      </c>
      <c r="D86">
        <f>IFERROR(VLOOKUP($C$86,'Tantárgyi adatok'!B:D,2,FALSE),"nincs")</f>
        <v>0</v>
      </c>
      <c r="E86">
        <f>IFERROR(VLOOKUP($C$86,'Tantárgyi adatok'!B:D,3,FALSE),"nincs")</f>
        <v>0</v>
      </c>
      <c r="F86" t="s">
        <v>1345</v>
      </c>
      <c r="H86" t="s">
        <v>311</v>
      </c>
    </row>
    <row r="87" spans="1:8" x14ac:dyDescent="0.25">
      <c r="A87" t="s">
        <v>312</v>
      </c>
      <c r="B87" t="s">
        <v>313</v>
      </c>
      <c r="C87" t="s">
        <v>12</v>
      </c>
      <c r="D87">
        <f>IFERROR(VLOOKUP($C$87,'Tantárgyi adatok'!B:D,2,FALSE),"nincs")</f>
        <v>0</v>
      </c>
      <c r="E87">
        <f>IFERROR(VLOOKUP($C$87,'Tantárgyi adatok'!B:D,3,FALSE),"nincs")</f>
        <v>0</v>
      </c>
      <c r="F87" t="s">
        <v>1345</v>
      </c>
      <c r="H87" t="s">
        <v>314</v>
      </c>
    </row>
    <row r="88" spans="1:8" x14ac:dyDescent="0.25">
      <c r="A88" t="s">
        <v>315</v>
      </c>
      <c r="B88" t="s">
        <v>316</v>
      </c>
      <c r="C88" t="s">
        <v>12</v>
      </c>
      <c r="D88">
        <f>IFERROR(VLOOKUP($C$88,'Tantárgyi adatok'!B:D,2,FALSE),"nincs")</f>
        <v>0</v>
      </c>
      <c r="E88">
        <f>IFERROR(VLOOKUP($C$88,'Tantárgyi adatok'!B:D,3,FALSE),"nincs")</f>
        <v>0</v>
      </c>
      <c r="F88" t="s">
        <v>1338</v>
      </c>
      <c r="H88" t="s">
        <v>317</v>
      </c>
    </row>
    <row r="89" spans="1:8" x14ac:dyDescent="0.25">
      <c r="A89" t="s">
        <v>318</v>
      </c>
      <c r="B89" t="s">
        <v>319</v>
      </c>
      <c r="C89" t="s">
        <v>12</v>
      </c>
      <c r="D89">
        <f>IFERROR(VLOOKUP($C$89,'Tantárgyi adatok'!B:D,2,FALSE),"nincs")</f>
        <v>0</v>
      </c>
      <c r="E89">
        <f>IFERROR(VLOOKUP($C$89,'Tantárgyi adatok'!B:D,3,FALSE),"nincs")</f>
        <v>0</v>
      </c>
      <c r="F89" t="s">
        <v>1338</v>
      </c>
      <c r="H89" t="s">
        <v>320</v>
      </c>
    </row>
    <row r="90" spans="1:8" x14ac:dyDescent="0.25">
      <c r="A90" t="s">
        <v>321</v>
      </c>
      <c r="B90" t="s">
        <v>322</v>
      </c>
      <c r="C90" t="s">
        <v>12</v>
      </c>
      <c r="D90">
        <f>IFERROR(VLOOKUP($C$90,'Tantárgyi adatok'!B:D,2,FALSE),"nincs")</f>
        <v>0</v>
      </c>
      <c r="E90">
        <f>IFERROR(VLOOKUP($C$90,'Tantárgyi adatok'!B:D,3,FALSE),"nincs")</f>
        <v>0</v>
      </c>
      <c r="F90" t="s">
        <v>1338</v>
      </c>
      <c r="H90" t="s">
        <v>323</v>
      </c>
    </row>
    <row r="91" spans="1:8" x14ac:dyDescent="0.25">
      <c r="A91" t="s">
        <v>324</v>
      </c>
      <c r="B91" t="s">
        <v>325</v>
      </c>
      <c r="C91" t="s">
        <v>12</v>
      </c>
      <c r="D91">
        <f>IFERROR(VLOOKUP($C$91,'Tantárgyi adatok'!B:D,2,FALSE),"nincs")</f>
        <v>0</v>
      </c>
      <c r="E91">
        <f>IFERROR(VLOOKUP($C$91,'Tantárgyi adatok'!B:D,3,FALSE),"nincs")</f>
        <v>0</v>
      </c>
      <c r="F91" t="s">
        <v>1342</v>
      </c>
      <c r="H91" t="s">
        <v>326</v>
      </c>
    </row>
    <row r="92" spans="1:8" x14ac:dyDescent="0.25">
      <c r="A92" t="s">
        <v>327</v>
      </c>
      <c r="B92" t="s">
        <v>328</v>
      </c>
      <c r="C92" t="s">
        <v>12</v>
      </c>
      <c r="D92">
        <f>IFERROR(VLOOKUP($C$92,'Tantárgyi adatok'!B:D,2,FALSE),"nincs")</f>
        <v>0</v>
      </c>
      <c r="E92">
        <f>IFERROR(VLOOKUP($C$92,'Tantárgyi adatok'!B:D,3,FALSE),"nincs")</f>
        <v>0</v>
      </c>
      <c r="F92" t="s">
        <v>1342</v>
      </c>
      <c r="H92" t="s">
        <v>329</v>
      </c>
    </row>
    <row r="93" spans="1:8" x14ac:dyDescent="0.25">
      <c r="A93" t="s">
        <v>330</v>
      </c>
      <c r="B93" t="s">
        <v>331</v>
      </c>
      <c r="C93" t="s">
        <v>12</v>
      </c>
      <c r="D93">
        <f>IFERROR(VLOOKUP($C$93,'Tantárgyi adatok'!B:D,2,FALSE),"nincs")</f>
        <v>0</v>
      </c>
      <c r="E93">
        <f>IFERROR(VLOOKUP($C$93,'Tantárgyi adatok'!B:D,3,FALSE),"nincs")</f>
        <v>0</v>
      </c>
      <c r="F93" t="s">
        <v>1323</v>
      </c>
      <c r="H93" t="s">
        <v>332</v>
      </c>
    </row>
    <row r="94" spans="1:8" x14ac:dyDescent="0.25">
      <c r="A94" t="s">
        <v>333</v>
      </c>
      <c r="B94" t="s">
        <v>334</v>
      </c>
      <c r="C94" t="s">
        <v>12</v>
      </c>
      <c r="D94">
        <f>IFERROR(VLOOKUP($C$94,'Tantárgyi adatok'!B:D,2,FALSE),"nincs")</f>
        <v>0</v>
      </c>
      <c r="E94">
        <f>IFERROR(VLOOKUP($C$94,'Tantárgyi adatok'!B:D,3,FALSE),"nincs")</f>
        <v>0</v>
      </c>
      <c r="F94" t="s">
        <v>1317</v>
      </c>
      <c r="H94" t="s">
        <v>335</v>
      </c>
    </row>
    <row r="95" spans="1:8" x14ac:dyDescent="0.25">
      <c r="A95" t="s">
        <v>336</v>
      </c>
      <c r="B95" t="s">
        <v>337</v>
      </c>
      <c r="C95" t="s">
        <v>12</v>
      </c>
      <c r="D95">
        <f>IFERROR(VLOOKUP($C$95,'Tantárgyi adatok'!B:D,2,FALSE),"nincs")</f>
        <v>0</v>
      </c>
      <c r="E95">
        <f>IFERROR(VLOOKUP($C$95,'Tantárgyi adatok'!B:D,3,FALSE),"nincs")</f>
        <v>0</v>
      </c>
      <c r="F95" t="s">
        <v>1317</v>
      </c>
      <c r="H95" t="s">
        <v>338</v>
      </c>
    </row>
    <row r="96" spans="1:8" x14ac:dyDescent="0.25">
      <c r="A96" t="s">
        <v>339</v>
      </c>
      <c r="B96" t="s">
        <v>340</v>
      </c>
      <c r="C96" t="s">
        <v>12</v>
      </c>
      <c r="D96">
        <f>IFERROR(VLOOKUP($C$96,'Tantárgyi adatok'!B:D,2,FALSE),"nincs")</f>
        <v>0</v>
      </c>
      <c r="E96">
        <f>IFERROR(VLOOKUP($C$96,'Tantárgyi adatok'!B:D,3,FALSE),"nincs")</f>
        <v>0</v>
      </c>
      <c r="F96" t="s">
        <v>1346</v>
      </c>
      <c r="H96" t="s">
        <v>341</v>
      </c>
    </row>
    <row r="97" spans="1:8" x14ac:dyDescent="0.25">
      <c r="A97" t="s">
        <v>342</v>
      </c>
      <c r="B97" t="s">
        <v>343</v>
      </c>
      <c r="C97" t="s">
        <v>14</v>
      </c>
      <c r="D97">
        <f>IFERROR(VLOOKUP($C$97,'Tantárgyi adatok'!B:D,2,FALSE),"nincs")</f>
        <v>0</v>
      </c>
      <c r="E97">
        <f>IFERROR(VLOOKUP($C$97,'Tantárgyi adatok'!B:D,3,FALSE),"nincs")</f>
        <v>0</v>
      </c>
      <c r="F97" t="s">
        <v>1337</v>
      </c>
      <c r="H97" t="s">
        <v>344</v>
      </c>
    </row>
    <row r="98" spans="1:8" x14ac:dyDescent="0.25">
      <c r="A98" t="s">
        <v>345</v>
      </c>
      <c r="B98" t="s">
        <v>346</v>
      </c>
      <c r="C98" t="s">
        <v>16</v>
      </c>
      <c r="D98">
        <f>IFERROR(VLOOKUP($C$98,'Tantárgyi adatok'!B:D,2,FALSE),"nincs")</f>
        <v>0</v>
      </c>
      <c r="E98">
        <f>IFERROR(VLOOKUP($C$98,'Tantárgyi adatok'!B:D,3,FALSE),"nincs")</f>
        <v>0</v>
      </c>
      <c r="F98" t="s">
        <v>1330</v>
      </c>
      <c r="H98" t="s">
        <v>347</v>
      </c>
    </row>
    <row r="99" spans="1:8" x14ac:dyDescent="0.25">
      <c r="A99" t="s">
        <v>348</v>
      </c>
      <c r="B99" t="s">
        <v>349</v>
      </c>
      <c r="C99" t="s">
        <v>16</v>
      </c>
      <c r="D99">
        <f>IFERROR(VLOOKUP($C$99,'Tantárgyi adatok'!B:D,2,FALSE),"nincs")</f>
        <v>0</v>
      </c>
      <c r="E99">
        <f>IFERROR(VLOOKUP($C$99,'Tantárgyi adatok'!B:D,3,FALSE),"nincs")</f>
        <v>0</v>
      </c>
      <c r="F99" t="s">
        <v>1351</v>
      </c>
      <c r="H99" t="s">
        <v>350</v>
      </c>
    </row>
    <row r="100" spans="1:8" x14ac:dyDescent="0.25">
      <c r="A100" t="s">
        <v>351</v>
      </c>
      <c r="B100" t="s">
        <v>352</v>
      </c>
      <c r="C100" t="s">
        <v>16</v>
      </c>
      <c r="D100">
        <f>IFERROR(VLOOKUP($C$100,'Tantárgyi adatok'!B:D,2,FALSE),"nincs")</f>
        <v>0</v>
      </c>
      <c r="E100">
        <f>IFERROR(VLOOKUP($C$100,'Tantárgyi adatok'!B:D,3,FALSE),"nincs")</f>
        <v>0</v>
      </c>
      <c r="F100" t="s">
        <v>1351</v>
      </c>
      <c r="H100" t="s">
        <v>353</v>
      </c>
    </row>
    <row r="101" spans="1:8" x14ac:dyDescent="0.25">
      <c r="A101" t="s">
        <v>354</v>
      </c>
      <c r="B101" t="s">
        <v>355</v>
      </c>
      <c r="C101" t="s">
        <v>16</v>
      </c>
      <c r="D101">
        <f>IFERROR(VLOOKUP($C$101,'Tantárgyi adatok'!B:D,2,FALSE),"nincs")</f>
        <v>0</v>
      </c>
      <c r="E101">
        <f>IFERROR(VLOOKUP($C$101,'Tantárgyi adatok'!B:D,3,FALSE),"nincs")</f>
        <v>0</v>
      </c>
      <c r="F101" t="s">
        <v>1337</v>
      </c>
      <c r="H101" t="s">
        <v>356</v>
      </c>
    </row>
    <row r="102" spans="1:8" x14ac:dyDescent="0.25">
      <c r="A102" t="s">
        <v>357</v>
      </c>
      <c r="B102" t="s">
        <v>358</v>
      </c>
      <c r="C102" t="s">
        <v>16</v>
      </c>
      <c r="D102">
        <f>IFERROR(VLOOKUP($C$102,'Tantárgyi adatok'!B:D,2,FALSE),"nincs")</f>
        <v>0</v>
      </c>
      <c r="E102">
        <f>IFERROR(VLOOKUP($C$102,'Tantárgyi adatok'!B:D,3,FALSE),"nincs")</f>
        <v>0</v>
      </c>
      <c r="F102" t="s">
        <v>1337</v>
      </c>
      <c r="H102" t="s">
        <v>359</v>
      </c>
    </row>
    <row r="103" spans="1:8" x14ac:dyDescent="0.25">
      <c r="A103" t="s">
        <v>360</v>
      </c>
      <c r="B103" t="s">
        <v>361</v>
      </c>
      <c r="C103" t="s">
        <v>16</v>
      </c>
      <c r="D103">
        <f>IFERROR(VLOOKUP($C$103,'Tantárgyi adatok'!B:D,2,FALSE),"nincs")</f>
        <v>0</v>
      </c>
      <c r="E103">
        <f>IFERROR(VLOOKUP($C$103,'Tantárgyi adatok'!B:D,3,FALSE),"nincs")</f>
        <v>0</v>
      </c>
      <c r="F103" t="s">
        <v>1337</v>
      </c>
      <c r="H103" t="s">
        <v>362</v>
      </c>
    </row>
    <row r="104" spans="1:8" x14ac:dyDescent="0.25">
      <c r="A104" t="s">
        <v>363</v>
      </c>
      <c r="B104" t="s">
        <v>364</v>
      </c>
      <c r="C104" t="s">
        <v>16</v>
      </c>
      <c r="D104">
        <f>IFERROR(VLOOKUP($C$104,'Tantárgyi adatok'!B:D,2,FALSE),"nincs")</f>
        <v>0</v>
      </c>
      <c r="E104">
        <f>IFERROR(VLOOKUP($C$104,'Tantárgyi adatok'!B:D,3,FALSE),"nincs")</f>
        <v>0</v>
      </c>
      <c r="F104" t="s">
        <v>1351</v>
      </c>
      <c r="H104" t="s">
        <v>365</v>
      </c>
    </row>
    <row r="105" spans="1:8" x14ac:dyDescent="0.25">
      <c r="A105" t="s">
        <v>366</v>
      </c>
      <c r="B105" t="s">
        <v>367</v>
      </c>
      <c r="C105" t="s">
        <v>16</v>
      </c>
      <c r="D105">
        <f>IFERROR(VLOOKUP($C$105,'Tantárgyi adatok'!B:D,2,FALSE),"nincs")</f>
        <v>0</v>
      </c>
      <c r="E105">
        <f>IFERROR(VLOOKUP($C$105,'Tantárgyi adatok'!B:D,3,FALSE),"nincs")</f>
        <v>0</v>
      </c>
      <c r="F105" t="s">
        <v>1329</v>
      </c>
      <c r="H105" t="s">
        <v>368</v>
      </c>
    </row>
    <row r="106" spans="1:8" x14ac:dyDescent="0.25">
      <c r="A106" t="s">
        <v>369</v>
      </c>
      <c r="B106" t="s">
        <v>370</v>
      </c>
      <c r="C106" t="s">
        <v>16</v>
      </c>
      <c r="D106">
        <f>IFERROR(VLOOKUP($C$106,'Tantárgyi adatok'!B:D,2,FALSE),"nincs")</f>
        <v>0</v>
      </c>
      <c r="E106">
        <f>IFERROR(VLOOKUP($C$106,'Tantárgyi adatok'!B:D,3,FALSE),"nincs")</f>
        <v>0</v>
      </c>
      <c r="F106" t="s">
        <v>1352</v>
      </c>
      <c r="H106" t="s">
        <v>371</v>
      </c>
    </row>
    <row r="107" spans="1:8" x14ac:dyDescent="0.25">
      <c r="A107" t="s">
        <v>369</v>
      </c>
      <c r="B107" t="s">
        <v>370</v>
      </c>
      <c r="C107" t="s">
        <v>16</v>
      </c>
      <c r="D107">
        <f>IFERROR(VLOOKUP($C$107,'Tantárgyi adatok'!B:D,2,FALSE),"nincs")</f>
        <v>0</v>
      </c>
      <c r="E107">
        <f>IFERROR(VLOOKUP($C$107,'Tantárgyi adatok'!B:D,3,FALSE),"nincs")</f>
        <v>0</v>
      </c>
      <c r="F107" t="s">
        <v>1335</v>
      </c>
      <c r="H107" t="s">
        <v>371</v>
      </c>
    </row>
    <row r="108" spans="1:8" x14ac:dyDescent="0.25">
      <c r="A108" t="s">
        <v>372</v>
      </c>
      <c r="B108" t="s">
        <v>373</v>
      </c>
      <c r="C108" t="s">
        <v>16</v>
      </c>
      <c r="D108">
        <f>IFERROR(VLOOKUP($C$108,'Tantárgyi adatok'!B:D,2,FALSE),"nincs")</f>
        <v>0</v>
      </c>
      <c r="E108">
        <f>IFERROR(VLOOKUP($C$108,'Tantárgyi adatok'!B:D,3,FALSE),"nincs")</f>
        <v>0</v>
      </c>
      <c r="F108" t="s">
        <v>1348</v>
      </c>
      <c r="H108" t="s">
        <v>374</v>
      </c>
    </row>
    <row r="109" spans="1:8" x14ac:dyDescent="0.25">
      <c r="A109" t="s">
        <v>375</v>
      </c>
      <c r="B109" t="s">
        <v>376</v>
      </c>
      <c r="C109" t="s">
        <v>16</v>
      </c>
      <c r="D109">
        <f>IFERROR(VLOOKUP($C$109,'Tantárgyi adatok'!B:D,2,FALSE),"nincs")</f>
        <v>0</v>
      </c>
      <c r="E109">
        <f>IFERROR(VLOOKUP($C$109,'Tantárgyi adatok'!B:D,3,FALSE),"nincs")</f>
        <v>0</v>
      </c>
      <c r="F109" t="s">
        <v>1335</v>
      </c>
      <c r="H109" t="s">
        <v>377</v>
      </c>
    </row>
    <row r="110" spans="1:8" x14ac:dyDescent="0.25">
      <c r="A110" t="s">
        <v>378</v>
      </c>
      <c r="B110" t="s">
        <v>379</v>
      </c>
      <c r="C110" t="s">
        <v>16</v>
      </c>
      <c r="D110">
        <f>IFERROR(VLOOKUP($C$110,'Tantárgyi adatok'!B:D,2,FALSE),"nincs")</f>
        <v>0</v>
      </c>
      <c r="E110">
        <f>IFERROR(VLOOKUP($C$110,'Tantárgyi adatok'!B:D,3,FALSE),"nincs")</f>
        <v>0</v>
      </c>
      <c r="F110" t="s">
        <v>1348</v>
      </c>
      <c r="H110" t="s">
        <v>380</v>
      </c>
    </row>
    <row r="111" spans="1:8" x14ac:dyDescent="0.25">
      <c r="A111" t="s">
        <v>381</v>
      </c>
      <c r="B111" t="s">
        <v>382</v>
      </c>
      <c r="C111" t="s">
        <v>16</v>
      </c>
      <c r="D111">
        <f>IFERROR(VLOOKUP($C$111,'Tantárgyi adatok'!B:D,2,FALSE),"nincs")</f>
        <v>0</v>
      </c>
      <c r="E111">
        <f>IFERROR(VLOOKUP($C$111,'Tantárgyi adatok'!B:D,3,FALSE),"nincs")</f>
        <v>0</v>
      </c>
      <c r="F111" t="s">
        <v>1353</v>
      </c>
      <c r="H111" t="s">
        <v>383</v>
      </c>
    </row>
    <row r="112" spans="1:8" x14ac:dyDescent="0.25">
      <c r="A112" t="s">
        <v>384</v>
      </c>
      <c r="B112" t="s">
        <v>385</v>
      </c>
      <c r="C112" t="s">
        <v>16</v>
      </c>
      <c r="D112">
        <f>IFERROR(VLOOKUP($C$112,'Tantárgyi adatok'!B:D,2,FALSE),"nincs")</f>
        <v>0</v>
      </c>
      <c r="E112">
        <f>IFERROR(VLOOKUP($C$112,'Tantárgyi adatok'!B:D,3,FALSE),"nincs")</f>
        <v>0</v>
      </c>
      <c r="F112" t="s">
        <v>1354</v>
      </c>
      <c r="H112" t="s">
        <v>386</v>
      </c>
    </row>
    <row r="113" spans="1:8" x14ac:dyDescent="0.25">
      <c r="A113" t="s">
        <v>387</v>
      </c>
      <c r="B113" t="s">
        <v>388</v>
      </c>
      <c r="C113" t="s">
        <v>16</v>
      </c>
      <c r="D113">
        <f>IFERROR(VLOOKUP($C$113,'Tantárgyi adatok'!B:D,2,FALSE),"nincs")</f>
        <v>0</v>
      </c>
      <c r="E113">
        <f>IFERROR(VLOOKUP($C$113,'Tantárgyi adatok'!B:D,3,FALSE),"nincs")</f>
        <v>0</v>
      </c>
      <c r="F113" t="s">
        <v>1355</v>
      </c>
      <c r="H113" t="s">
        <v>389</v>
      </c>
    </row>
    <row r="114" spans="1:8" x14ac:dyDescent="0.25">
      <c r="A114" t="s">
        <v>390</v>
      </c>
      <c r="B114" t="s">
        <v>391</v>
      </c>
      <c r="C114" t="s">
        <v>16</v>
      </c>
      <c r="D114">
        <f>IFERROR(VLOOKUP($C$114,'Tantárgyi adatok'!B:D,2,FALSE),"nincs")</f>
        <v>0</v>
      </c>
      <c r="E114">
        <f>IFERROR(VLOOKUP($C$114,'Tantárgyi adatok'!B:D,3,FALSE),"nincs")</f>
        <v>0</v>
      </c>
      <c r="F114" t="s">
        <v>1356</v>
      </c>
      <c r="H114" t="s">
        <v>392</v>
      </c>
    </row>
    <row r="115" spans="1:8" x14ac:dyDescent="0.25">
      <c r="A115" t="s">
        <v>393</v>
      </c>
      <c r="B115" t="s">
        <v>394</v>
      </c>
      <c r="C115" t="s">
        <v>16</v>
      </c>
      <c r="D115">
        <f>IFERROR(VLOOKUP($C$115,'Tantárgyi adatok'!B:D,2,FALSE),"nincs")</f>
        <v>0</v>
      </c>
      <c r="E115">
        <f>IFERROR(VLOOKUP($C$115,'Tantárgyi adatok'!B:D,3,FALSE),"nincs")</f>
        <v>0</v>
      </c>
      <c r="F115" t="s">
        <v>1337</v>
      </c>
      <c r="H115" t="s">
        <v>395</v>
      </c>
    </row>
    <row r="116" spans="1:8" x14ac:dyDescent="0.25">
      <c r="A116" t="s">
        <v>396</v>
      </c>
      <c r="B116" t="s">
        <v>397</v>
      </c>
      <c r="C116" t="s">
        <v>16</v>
      </c>
      <c r="D116">
        <f>IFERROR(VLOOKUP($C$116,'Tantárgyi adatok'!B:D,2,FALSE),"nincs")</f>
        <v>0</v>
      </c>
      <c r="E116">
        <f>IFERROR(VLOOKUP($C$116,'Tantárgyi adatok'!B:D,3,FALSE),"nincs")</f>
        <v>0</v>
      </c>
      <c r="F116" t="s">
        <v>1357</v>
      </c>
      <c r="H116" t="s">
        <v>398</v>
      </c>
    </row>
    <row r="117" spans="1:8" x14ac:dyDescent="0.25">
      <c r="A117" t="s">
        <v>399</v>
      </c>
      <c r="B117" t="s">
        <v>400</v>
      </c>
      <c r="C117" t="s">
        <v>16</v>
      </c>
      <c r="D117">
        <f>IFERROR(VLOOKUP($C$117,'Tantárgyi adatok'!B:D,2,FALSE),"nincs")</f>
        <v>0</v>
      </c>
      <c r="E117">
        <f>IFERROR(VLOOKUP($C$117,'Tantárgyi adatok'!B:D,3,FALSE),"nincs")</f>
        <v>0</v>
      </c>
      <c r="F117" t="s">
        <v>1347</v>
      </c>
      <c r="H117" t="s">
        <v>401</v>
      </c>
    </row>
    <row r="118" spans="1:8" x14ac:dyDescent="0.25">
      <c r="A118" t="s">
        <v>402</v>
      </c>
      <c r="B118" t="s">
        <v>403</v>
      </c>
      <c r="C118" t="s">
        <v>18</v>
      </c>
      <c r="D118" t="str">
        <f>IFERROR(VLOOKUP($C$118,'Tantárgyi adatok'!B:D,2,FALSE),"nincs")</f>
        <v>Diplomatervezési</v>
      </c>
      <c r="E118" t="str">
        <f>IFERROR(VLOOKUP($C$118,'Tantárgyi adatok'!B:D,3,FALSE),"nincs")</f>
        <v>Mechatronikai mérnök</v>
      </c>
      <c r="F118" t="s">
        <v>1358</v>
      </c>
      <c r="H118" t="s">
        <v>404</v>
      </c>
    </row>
    <row r="119" spans="1:8" x14ac:dyDescent="0.25">
      <c r="A119" t="s">
        <v>405</v>
      </c>
      <c r="B119" t="s">
        <v>406</v>
      </c>
      <c r="C119" t="s">
        <v>18</v>
      </c>
      <c r="D119" t="str">
        <f>IFERROR(VLOOKUP($C$119,'Tantárgyi adatok'!B:D,2,FALSE),"nincs")</f>
        <v>Diplomatervezési</v>
      </c>
      <c r="E119" t="str">
        <f>IFERROR(VLOOKUP($C$119,'Tantárgyi adatok'!B:D,3,FALSE),"nincs")</f>
        <v>Mechatronikai mérnök</v>
      </c>
      <c r="F119" t="s">
        <v>1358</v>
      </c>
      <c r="H119" t="s">
        <v>407</v>
      </c>
    </row>
    <row r="120" spans="1:8" x14ac:dyDescent="0.25">
      <c r="A120" t="s">
        <v>408</v>
      </c>
      <c r="B120" t="s">
        <v>409</v>
      </c>
      <c r="C120" t="s">
        <v>18</v>
      </c>
      <c r="D120" t="str">
        <f>IFERROR(VLOOKUP($C$120,'Tantárgyi adatok'!B:D,2,FALSE),"nincs")</f>
        <v>Diplomatervezési</v>
      </c>
      <c r="E120" t="str">
        <f>IFERROR(VLOOKUP($C$120,'Tantárgyi adatok'!B:D,3,FALSE),"nincs")</f>
        <v>Mechatronikai mérnök</v>
      </c>
      <c r="F120" t="s">
        <v>1344</v>
      </c>
      <c r="H120" t="s">
        <v>410</v>
      </c>
    </row>
    <row r="121" spans="1:8" x14ac:dyDescent="0.25">
      <c r="A121" t="s">
        <v>411</v>
      </c>
      <c r="B121" t="s">
        <v>412</v>
      </c>
      <c r="C121" t="s">
        <v>20</v>
      </c>
      <c r="D121">
        <f>IFERROR(VLOOKUP($C$121,'Tantárgyi adatok'!B:D,2,FALSE),"nincs")</f>
        <v>0</v>
      </c>
      <c r="E121">
        <f>IFERROR(VLOOKUP($C$121,'Tantárgyi adatok'!B:D,3,FALSE),"nincs")</f>
        <v>0</v>
      </c>
      <c r="F121" t="s">
        <v>1358</v>
      </c>
      <c r="H121" t="s">
        <v>413</v>
      </c>
    </row>
    <row r="122" spans="1:8" x14ac:dyDescent="0.25">
      <c r="A122" t="s">
        <v>414</v>
      </c>
      <c r="B122" t="s">
        <v>415</v>
      </c>
      <c r="C122" t="s">
        <v>20</v>
      </c>
      <c r="D122">
        <f>IFERROR(VLOOKUP($C$122,'Tantárgyi adatok'!B:D,2,FALSE),"nincs")</f>
        <v>0</v>
      </c>
      <c r="E122">
        <f>IFERROR(VLOOKUP($C$122,'Tantárgyi adatok'!B:D,3,FALSE),"nincs")</f>
        <v>0</v>
      </c>
      <c r="F122" t="s">
        <v>63</v>
      </c>
      <c r="H122" t="s">
        <v>416</v>
      </c>
    </row>
    <row r="123" spans="1:8" x14ac:dyDescent="0.25">
      <c r="A123" t="s">
        <v>417</v>
      </c>
      <c r="B123" t="s">
        <v>418</v>
      </c>
      <c r="C123" t="s">
        <v>20</v>
      </c>
      <c r="D123">
        <f>IFERROR(VLOOKUP($C$123,'Tantárgyi adatok'!B:D,2,FALSE),"nincs")</f>
        <v>0</v>
      </c>
      <c r="E123">
        <f>IFERROR(VLOOKUP($C$123,'Tantárgyi adatok'!B:D,3,FALSE),"nincs")</f>
        <v>0</v>
      </c>
      <c r="F123" t="s">
        <v>1327</v>
      </c>
      <c r="H123" t="s">
        <v>419</v>
      </c>
    </row>
    <row r="124" spans="1:8" x14ac:dyDescent="0.25">
      <c r="A124" t="s">
        <v>420</v>
      </c>
      <c r="B124" t="s">
        <v>421</v>
      </c>
      <c r="C124" t="s">
        <v>20</v>
      </c>
      <c r="D124">
        <f>IFERROR(VLOOKUP($C$124,'Tantárgyi adatok'!B:D,2,FALSE),"nincs")</f>
        <v>0</v>
      </c>
      <c r="E124">
        <f>IFERROR(VLOOKUP($C$124,'Tantárgyi adatok'!B:D,3,FALSE),"nincs")</f>
        <v>0</v>
      </c>
      <c r="F124" t="s">
        <v>1359</v>
      </c>
      <c r="H124" t="s">
        <v>422</v>
      </c>
    </row>
    <row r="125" spans="1:8" x14ac:dyDescent="0.25">
      <c r="A125" t="s">
        <v>423</v>
      </c>
      <c r="B125" t="s">
        <v>424</v>
      </c>
      <c r="C125" t="s">
        <v>20</v>
      </c>
      <c r="D125">
        <f>IFERROR(VLOOKUP($C$125,'Tantárgyi adatok'!B:D,2,FALSE),"nincs")</f>
        <v>0</v>
      </c>
      <c r="E125">
        <f>IFERROR(VLOOKUP($C$125,'Tantárgyi adatok'!B:D,3,FALSE),"nincs")</f>
        <v>0</v>
      </c>
      <c r="F125" t="s">
        <v>1358</v>
      </c>
      <c r="H125" t="s">
        <v>425</v>
      </c>
    </row>
    <row r="126" spans="1:8" x14ac:dyDescent="0.25">
      <c r="A126" t="s">
        <v>426</v>
      </c>
      <c r="B126" t="s">
        <v>427</v>
      </c>
      <c r="C126" t="s">
        <v>20</v>
      </c>
      <c r="D126">
        <f>IFERROR(VLOOKUP($C$126,'Tantárgyi adatok'!B:D,2,FALSE),"nincs")</f>
        <v>0</v>
      </c>
      <c r="E126">
        <f>IFERROR(VLOOKUP($C$126,'Tantárgyi adatok'!B:D,3,FALSE),"nincs")</f>
        <v>0</v>
      </c>
      <c r="F126" t="s">
        <v>1358</v>
      </c>
      <c r="H126" t="s">
        <v>428</v>
      </c>
    </row>
    <row r="127" spans="1:8" x14ac:dyDescent="0.25">
      <c r="A127" t="s">
        <v>429</v>
      </c>
      <c r="B127" t="s">
        <v>430</v>
      </c>
      <c r="C127" t="s">
        <v>20</v>
      </c>
      <c r="D127">
        <f>IFERROR(VLOOKUP($C$127,'Tantárgyi adatok'!B:D,2,FALSE),"nincs")</f>
        <v>0</v>
      </c>
      <c r="E127">
        <f>IFERROR(VLOOKUP($C$127,'Tantárgyi adatok'!B:D,3,FALSE),"nincs")</f>
        <v>0</v>
      </c>
      <c r="F127" t="s">
        <v>1358</v>
      </c>
      <c r="H127" t="s">
        <v>431</v>
      </c>
    </row>
    <row r="128" spans="1:8" x14ac:dyDescent="0.25">
      <c r="A128" t="s">
        <v>432</v>
      </c>
      <c r="B128" t="s">
        <v>433</v>
      </c>
      <c r="C128" t="s">
        <v>20</v>
      </c>
      <c r="D128">
        <f>IFERROR(VLOOKUP($C$128,'Tantárgyi adatok'!B:D,2,FALSE),"nincs")</f>
        <v>0</v>
      </c>
      <c r="E128">
        <f>IFERROR(VLOOKUP($C$128,'Tantárgyi adatok'!B:D,3,FALSE),"nincs")</f>
        <v>0</v>
      </c>
      <c r="F128" t="s">
        <v>1343</v>
      </c>
      <c r="H128" t="s">
        <v>434</v>
      </c>
    </row>
    <row r="129" spans="1:8" x14ac:dyDescent="0.25">
      <c r="A129" t="s">
        <v>435</v>
      </c>
      <c r="B129" t="s">
        <v>436</v>
      </c>
      <c r="C129" t="s">
        <v>20</v>
      </c>
      <c r="D129">
        <f>IFERROR(VLOOKUP($C$129,'Tantárgyi adatok'!B:D,2,FALSE),"nincs")</f>
        <v>0</v>
      </c>
      <c r="E129">
        <f>IFERROR(VLOOKUP($C$129,'Tantárgyi adatok'!B:D,3,FALSE),"nincs")</f>
        <v>0</v>
      </c>
      <c r="F129" t="s">
        <v>1329</v>
      </c>
      <c r="H129" t="s">
        <v>437</v>
      </c>
    </row>
    <row r="130" spans="1:8" x14ac:dyDescent="0.25">
      <c r="A130" t="s">
        <v>438</v>
      </c>
      <c r="B130" t="s">
        <v>439</v>
      </c>
      <c r="C130" t="s">
        <v>20</v>
      </c>
      <c r="D130">
        <f>IFERROR(VLOOKUP($C$130,'Tantárgyi adatok'!B:D,2,FALSE),"nincs")</f>
        <v>0</v>
      </c>
      <c r="E130">
        <f>IFERROR(VLOOKUP($C$130,'Tantárgyi adatok'!B:D,3,FALSE),"nincs")</f>
        <v>0</v>
      </c>
      <c r="F130" t="s">
        <v>1358</v>
      </c>
      <c r="H130" t="s">
        <v>440</v>
      </c>
    </row>
    <row r="131" spans="1:8" x14ac:dyDescent="0.25">
      <c r="A131" t="s">
        <v>441</v>
      </c>
      <c r="B131" t="s">
        <v>442</v>
      </c>
      <c r="C131" t="s">
        <v>20</v>
      </c>
      <c r="D131">
        <f>IFERROR(VLOOKUP($C$131,'Tantárgyi adatok'!B:D,2,FALSE),"nincs")</f>
        <v>0</v>
      </c>
      <c r="E131">
        <f>IFERROR(VLOOKUP($C$131,'Tantárgyi adatok'!B:D,3,FALSE),"nincs")</f>
        <v>0</v>
      </c>
      <c r="F131" t="s">
        <v>1360</v>
      </c>
      <c r="H131" t="s">
        <v>443</v>
      </c>
    </row>
    <row r="132" spans="1:8" x14ac:dyDescent="0.25">
      <c r="A132" t="s">
        <v>444</v>
      </c>
      <c r="B132" t="s">
        <v>445</v>
      </c>
      <c r="C132" t="s">
        <v>21</v>
      </c>
      <c r="D132" t="str">
        <f>IFERROR(VLOOKUP($C$132,'Tantárgyi adatok'!B:D,2,FALSE),"nincs")</f>
        <v>nincs</v>
      </c>
      <c r="E132" t="str">
        <f>IFERROR(VLOOKUP($C$132,'Tantárgyi adatok'!B:D,3,FALSE),"nincs")</f>
        <v>nincs</v>
      </c>
      <c r="F132" t="s">
        <v>1315</v>
      </c>
      <c r="H132" t="s">
        <v>446</v>
      </c>
    </row>
    <row r="133" spans="1:8" x14ac:dyDescent="0.25">
      <c r="A133" t="s">
        <v>447</v>
      </c>
      <c r="B133" t="s">
        <v>448</v>
      </c>
      <c r="C133" t="s">
        <v>23</v>
      </c>
      <c r="D133">
        <f>IFERROR(VLOOKUP($C$133,'Tantárgyi adatok'!B:D,2,FALSE),"nincs")</f>
        <v>0</v>
      </c>
      <c r="E133">
        <f>IFERROR(VLOOKUP($C$133,'Tantárgyi adatok'!B:D,3,FALSE),"nincs")</f>
        <v>0</v>
      </c>
      <c r="F133" t="s">
        <v>1338</v>
      </c>
      <c r="H133" t="s">
        <v>449</v>
      </c>
    </row>
    <row r="134" spans="1:8" x14ac:dyDescent="0.25">
      <c r="A134" t="s">
        <v>450</v>
      </c>
      <c r="B134" t="s">
        <v>451</v>
      </c>
      <c r="C134" t="s">
        <v>23</v>
      </c>
      <c r="D134">
        <f>IFERROR(VLOOKUP($C$134,'Tantárgyi adatok'!B:D,2,FALSE),"nincs")</f>
        <v>0</v>
      </c>
      <c r="E134">
        <f>IFERROR(VLOOKUP($C$134,'Tantárgyi adatok'!B:D,3,FALSE),"nincs")</f>
        <v>0</v>
      </c>
      <c r="F134" t="s">
        <v>1349</v>
      </c>
      <c r="H134" t="s">
        <v>452</v>
      </c>
    </row>
    <row r="135" spans="1:8" x14ac:dyDescent="0.25">
      <c r="A135" t="s">
        <v>453</v>
      </c>
      <c r="B135" t="s">
        <v>454</v>
      </c>
      <c r="C135" t="s">
        <v>23</v>
      </c>
      <c r="D135">
        <f>IFERROR(VLOOKUP($C$135,'Tantárgyi adatok'!B:D,2,FALSE),"nincs")</f>
        <v>0</v>
      </c>
      <c r="E135">
        <f>IFERROR(VLOOKUP($C$135,'Tantárgyi adatok'!B:D,3,FALSE),"nincs")</f>
        <v>0</v>
      </c>
      <c r="F135" t="s">
        <v>1326</v>
      </c>
      <c r="H135" t="s">
        <v>455</v>
      </c>
    </row>
    <row r="136" spans="1:8" x14ac:dyDescent="0.25">
      <c r="A136" t="s">
        <v>456</v>
      </c>
      <c r="B136" t="s">
        <v>457</v>
      </c>
      <c r="C136" t="s">
        <v>25</v>
      </c>
      <c r="D136">
        <f>IFERROR(VLOOKUP($C$136,'Tantárgyi adatok'!B:D,2,FALSE),"nincs")</f>
        <v>0</v>
      </c>
      <c r="E136">
        <f>IFERROR(VLOOKUP($C$136,'Tantárgyi adatok'!B:D,3,FALSE),"nincs")</f>
        <v>0</v>
      </c>
      <c r="F136" t="s">
        <v>1361</v>
      </c>
      <c r="H136" t="s">
        <v>458</v>
      </c>
    </row>
    <row r="137" spans="1:8" x14ac:dyDescent="0.25">
      <c r="A137" t="s">
        <v>459</v>
      </c>
      <c r="B137" t="s">
        <v>460</v>
      </c>
      <c r="C137" t="s">
        <v>25</v>
      </c>
      <c r="D137">
        <f>IFERROR(VLOOKUP($C$137,'Tantárgyi adatok'!B:D,2,FALSE),"nincs")</f>
        <v>0</v>
      </c>
      <c r="E137">
        <f>IFERROR(VLOOKUP($C$137,'Tantárgyi adatok'!B:D,3,FALSE),"nincs")</f>
        <v>0</v>
      </c>
      <c r="F137" t="s">
        <v>1316</v>
      </c>
      <c r="H137" t="s">
        <v>461</v>
      </c>
    </row>
    <row r="138" spans="1:8" x14ac:dyDescent="0.25">
      <c r="A138" t="s">
        <v>462</v>
      </c>
      <c r="B138" t="s">
        <v>463</v>
      </c>
      <c r="C138" t="s">
        <v>25</v>
      </c>
      <c r="D138">
        <f>IFERROR(VLOOKUP($C$138,'Tantárgyi adatok'!B:D,2,FALSE),"nincs")</f>
        <v>0</v>
      </c>
      <c r="E138">
        <f>IFERROR(VLOOKUP($C$138,'Tantárgyi adatok'!B:D,3,FALSE),"nincs")</f>
        <v>0</v>
      </c>
      <c r="F138" t="s">
        <v>1316</v>
      </c>
      <c r="H138" t="s">
        <v>464</v>
      </c>
    </row>
    <row r="139" spans="1:8" x14ac:dyDescent="0.25">
      <c r="A139" t="s">
        <v>465</v>
      </c>
      <c r="B139" t="s">
        <v>466</v>
      </c>
      <c r="C139" t="s">
        <v>25</v>
      </c>
      <c r="D139">
        <f>IFERROR(VLOOKUP($C$139,'Tantárgyi adatok'!B:D,2,FALSE),"nincs")</f>
        <v>0</v>
      </c>
      <c r="E139">
        <f>IFERROR(VLOOKUP($C$139,'Tantárgyi adatok'!B:D,3,FALSE),"nincs")</f>
        <v>0</v>
      </c>
      <c r="F139" t="s">
        <v>1324</v>
      </c>
      <c r="H139" t="s">
        <v>467</v>
      </c>
    </row>
    <row r="140" spans="1:8" x14ac:dyDescent="0.25">
      <c r="A140" t="s">
        <v>468</v>
      </c>
      <c r="B140" t="s">
        <v>469</v>
      </c>
      <c r="C140" t="s">
        <v>25</v>
      </c>
      <c r="D140">
        <f>IFERROR(VLOOKUP($C$140,'Tantárgyi adatok'!B:D,2,FALSE),"nincs")</f>
        <v>0</v>
      </c>
      <c r="E140">
        <f>IFERROR(VLOOKUP($C$140,'Tantárgyi adatok'!B:D,3,FALSE),"nincs")</f>
        <v>0</v>
      </c>
      <c r="F140" t="s">
        <v>1316</v>
      </c>
      <c r="H140" t="s">
        <v>470</v>
      </c>
    </row>
    <row r="141" spans="1:8" x14ac:dyDescent="0.25">
      <c r="A141" t="s">
        <v>471</v>
      </c>
      <c r="B141" t="s">
        <v>472</v>
      </c>
      <c r="C141" t="s">
        <v>25</v>
      </c>
      <c r="D141">
        <f>IFERROR(VLOOKUP($C$141,'Tantárgyi adatok'!B:D,2,FALSE),"nincs")</f>
        <v>0</v>
      </c>
      <c r="E141">
        <f>IFERROR(VLOOKUP($C$141,'Tantárgyi adatok'!B:D,3,FALSE),"nincs")</f>
        <v>0</v>
      </c>
      <c r="F141" t="s">
        <v>1317</v>
      </c>
      <c r="H141" t="s">
        <v>473</v>
      </c>
    </row>
    <row r="142" spans="1:8" x14ac:dyDescent="0.25">
      <c r="A142" t="s">
        <v>474</v>
      </c>
      <c r="B142" t="s">
        <v>475</v>
      </c>
      <c r="C142" t="s">
        <v>27</v>
      </c>
      <c r="D142">
        <f>IFERROR(VLOOKUP($C$142,'Tantárgyi adatok'!B:D,2,FALSE),"nincs")</f>
        <v>0</v>
      </c>
      <c r="E142">
        <f>IFERROR(VLOOKUP($C$142,'Tantárgyi adatok'!B:D,3,FALSE),"nincs")</f>
        <v>0</v>
      </c>
      <c r="F142" t="s">
        <v>1362</v>
      </c>
      <c r="H142" t="s">
        <v>476</v>
      </c>
    </row>
    <row r="143" spans="1:8" x14ac:dyDescent="0.25">
      <c r="A143" t="s">
        <v>477</v>
      </c>
      <c r="B143" t="s">
        <v>478</v>
      </c>
      <c r="C143" t="s">
        <v>29</v>
      </c>
      <c r="D143">
        <f>IFERROR(VLOOKUP($C$143,'Tantárgyi adatok'!B:D,2,FALSE),"nincs")</f>
        <v>0</v>
      </c>
      <c r="E143">
        <f>IFERROR(VLOOKUP($C$143,'Tantárgyi adatok'!B:D,3,FALSE),"nincs")</f>
        <v>0</v>
      </c>
      <c r="F143" t="s">
        <v>1318</v>
      </c>
      <c r="H143" t="s">
        <v>479</v>
      </c>
    </row>
    <row r="144" spans="1:8" x14ac:dyDescent="0.25">
      <c r="A144" t="s">
        <v>477</v>
      </c>
      <c r="B144" t="s">
        <v>478</v>
      </c>
      <c r="C144" t="s">
        <v>29</v>
      </c>
      <c r="D144">
        <f>IFERROR(VLOOKUP($C$144,'Tantárgyi adatok'!B:D,2,FALSE),"nincs")</f>
        <v>0</v>
      </c>
      <c r="E144">
        <f>IFERROR(VLOOKUP($C$144,'Tantárgyi adatok'!B:D,3,FALSE),"nincs")</f>
        <v>0</v>
      </c>
      <c r="F144" t="s">
        <v>1316</v>
      </c>
      <c r="H144" t="s">
        <v>479</v>
      </c>
    </row>
    <row r="145" spans="1:8" x14ac:dyDescent="0.25">
      <c r="A145" t="s">
        <v>480</v>
      </c>
      <c r="B145" t="s">
        <v>481</v>
      </c>
      <c r="C145" t="s">
        <v>29</v>
      </c>
      <c r="D145">
        <f>IFERROR(VLOOKUP($C$145,'Tantárgyi adatok'!B:D,2,FALSE),"nincs")</f>
        <v>0</v>
      </c>
      <c r="E145">
        <f>IFERROR(VLOOKUP($C$145,'Tantárgyi adatok'!B:D,3,FALSE),"nincs")</f>
        <v>0</v>
      </c>
      <c r="F145" t="s">
        <v>1318</v>
      </c>
      <c r="H145" t="s">
        <v>482</v>
      </c>
    </row>
    <row r="146" spans="1:8" x14ac:dyDescent="0.25">
      <c r="A146" t="s">
        <v>483</v>
      </c>
      <c r="B146" t="s">
        <v>484</v>
      </c>
      <c r="C146" t="s">
        <v>29</v>
      </c>
      <c r="D146">
        <f>IFERROR(VLOOKUP($C$146,'Tantárgyi adatok'!B:D,2,FALSE),"nincs")</f>
        <v>0</v>
      </c>
      <c r="E146">
        <f>IFERROR(VLOOKUP($C$146,'Tantárgyi adatok'!B:D,3,FALSE),"nincs")</f>
        <v>0</v>
      </c>
      <c r="F146" t="s">
        <v>1349</v>
      </c>
      <c r="H146" t="s">
        <v>485</v>
      </c>
    </row>
    <row r="147" spans="1:8" x14ac:dyDescent="0.25">
      <c r="A147" t="s">
        <v>486</v>
      </c>
      <c r="B147" t="s">
        <v>487</v>
      </c>
      <c r="C147" t="s">
        <v>29</v>
      </c>
      <c r="D147">
        <f>IFERROR(VLOOKUP($C$147,'Tantárgyi adatok'!B:D,2,FALSE),"nincs")</f>
        <v>0</v>
      </c>
      <c r="E147">
        <f>IFERROR(VLOOKUP($C$147,'Tantárgyi adatok'!B:D,3,FALSE),"nincs")</f>
        <v>0</v>
      </c>
      <c r="F147" t="s">
        <v>1349</v>
      </c>
      <c r="H147" t="s">
        <v>488</v>
      </c>
    </row>
    <row r="148" spans="1:8" x14ac:dyDescent="0.25">
      <c r="A148" t="s">
        <v>468</v>
      </c>
      <c r="B148" t="s">
        <v>489</v>
      </c>
      <c r="C148" t="s">
        <v>29</v>
      </c>
      <c r="D148">
        <f>IFERROR(VLOOKUP($C$148,'Tantárgyi adatok'!B:D,2,FALSE),"nincs")</f>
        <v>0</v>
      </c>
      <c r="E148">
        <f>IFERROR(VLOOKUP($C$148,'Tantárgyi adatok'!B:D,3,FALSE),"nincs")</f>
        <v>0</v>
      </c>
      <c r="F148" t="s">
        <v>1316</v>
      </c>
      <c r="H148" t="s">
        <v>470</v>
      </c>
    </row>
    <row r="149" spans="1:8" x14ac:dyDescent="0.25">
      <c r="A149" t="s">
        <v>490</v>
      </c>
      <c r="B149" t="s">
        <v>491</v>
      </c>
      <c r="C149" t="s">
        <v>29</v>
      </c>
      <c r="D149">
        <f>IFERROR(VLOOKUP($C$149,'Tantárgyi adatok'!B:D,2,FALSE),"nincs")</f>
        <v>0</v>
      </c>
      <c r="E149">
        <f>IFERROR(VLOOKUP($C$149,'Tantárgyi adatok'!B:D,3,FALSE),"nincs")</f>
        <v>0</v>
      </c>
      <c r="F149" t="s">
        <v>1363</v>
      </c>
      <c r="H149" t="s">
        <v>492</v>
      </c>
    </row>
    <row r="150" spans="1:8" x14ac:dyDescent="0.25">
      <c r="A150" t="s">
        <v>493</v>
      </c>
      <c r="B150" t="s">
        <v>494</v>
      </c>
      <c r="C150" t="s">
        <v>29</v>
      </c>
      <c r="D150">
        <f>IFERROR(VLOOKUP($C$150,'Tantárgyi adatok'!B:D,2,FALSE),"nincs")</f>
        <v>0</v>
      </c>
      <c r="E150">
        <f>IFERROR(VLOOKUP($C$150,'Tantárgyi adatok'!B:D,3,FALSE),"nincs")</f>
        <v>0</v>
      </c>
      <c r="F150" t="s">
        <v>1317</v>
      </c>
      <c r="H150" t="s">
        <v>495</v>
      </c>
    </row>
    <row r="151" spans="1:8" x14ac:dyDescent="0.25">
      <c r="A151" t="s">
        <v>496</v>
      </c>
      <c r="B151" t="s">
        <v>497</v>
      </c>
      <c r="C151" t="s">
        <v>29</v>
      </c>
      <c r="D151">
        <f>IFERROR(VLOOKUP($C$151,'Tantárgyi adatok'!B:D,2,FALSE),"nincs")</f>
        <v>0</v>
      </c>
      <c r="E151">
        <f>IFERROR(VLOOKUP($C$151,'Tantárgyi adatok'!B:D,3,FALSE),"nincs")</f>
        <v>0</v>
      </c>
      <c r="F151" t="s">
        <v>63</v>
      </c>
      <c r="H151" t="s">
        <v>498</v>
      </c>
    </row>
    <row r="152" spans="1:8" x14ac:dyDescent="0.25">
      <c r="A152" t="s">
        <v>499</v>
      </c>
      <c r="B152" t="s">
        <v>500</v>
      </c>
      <c r="C152" t="s">
        <v>29</v>
      </c>
      <c r="D152">
        <f>IFERROR(VLOOKUP($C$152,'Tantárgyi adatok'!B:D,2,FALSE),"nincs")</f>
        <v>0</v>
      </c>
      <c r="E152">
        <f>IFERROR(VLOOKUP($C$152,'Tantárgyi adatok'!B:D,3,FALSE),"nincs")</f>
        <v>0</v>
      </c>
      <c r="F152" t="s">
        <v>1321</v>
      </c>
      <c r="H152" t="s">
        <v>501</v>
      </c>
    </row>
    <row r="153" spans="1:8" x14ac:dyDescent="0.25">
      <c r="A153" t="s">
        <v>502</v>
      </c>
      <c r="B153" t="s">
        <v>503</v>
      </c>
      <c r="C153" t="s">
        <v>29</v>
      </c>
      <c r="D153">
        <f>IFERROR(VLOOKUP($C$153,'Tantárgyi adatok'!B:D,2,FALSE),"nincs")</f>
        <v>0</v>
      </c>
      <c r="E153">
        <f>IFERROR(VLOOKUP($C$153,'Tantárgyi adatok'!B:D,3,FALSE),"nincs")</f>
        <v>0</v>
      </c>
      <c r="F153" t="s">
        <v>1326</v>
      </c>
      <c r="H153" t="s">
        <v>504</v>
      </c>
    </row>
    <row r="154" spans="1:8" x14ac:dyDescent="0.25">
      <c r="A154" t="s">
        <v>505</v>
      </c>
      <c r="B154" t="s">
        <v>506</v>
      </c>
      <c r="C154" t="s">
        <v>29</v>
      </c>
      <c r="D154">
        <f>IFERROR(VLOOKUP($C$154,'Tantárgyi adatok'!B:D,2,FALSE),"nincs")</f>
        <v>0</v>
      </c>
      <c r="E154">
        <f>IFERROR(VLOOKUP($C$154,'Tantárgyi adatok'!B:D,3,FALSE),"nincs")</f>
        <v>0</v>
      </c>
      <c r="F154" t="s">
        <v>1317</v>
      </c>
      <c r="H154" t="s">
        <v>507</v>
      </c>
    </row>
    <row r="155" spans="1:8" x14ac:dyDescent="0.25">
      <c r="A155" t="s">
        <v>508</v>
      </c>
      <c r="B155" t="s">
        <v>509</v>
      </c>
      <c r="C155" t="s">
        <v>29</v>
      </c>
      <c r="D155">
        <f>IFERROR(VLOOKUP($C$155,'Tantárgyi adatok'!B:D,2,FALSE),"nincs")</f>
        <v>0</v>
      </c>
      <c r="E155">
        <f>IFERROR(VLOOKUP($C$155,'Tantárgyi adatok'!B:D,3,FALSE),"nincs")</f>
        <v>0</v>
      </c>
      <c r="F155" t="s">
        <v>1342</v>
      </c>
      <c r="H155" t="s">
        <v>510</v>
      </c>
    </row>
    <row r="156" spans="1:8" x14ac:dyDescent="0.25">
      <c r="A156" t="s">
        <v>511</v>
      </c>
      <c r="B156" t="s">
        <v>512</v>
      </c>
      <c r="C156" t="s">
        <v>29</v>
      </c>
      <c r="D156">
        <f>IFERROR(VLOOKUP($C$156,'Tantárgyi adatok'!B:D,2,FALSE),"nincs")</f>
        <v>0</v>
      </c>
      <c r="E156">
        <f>IFERROR(VLOOKUP($C$156,'Tantárgyi adatok'!B:D,3,FALSE),"nincs")</f>
        <v>0</v>
      </c>
      <c r="F156" t="s">
        <v>1319</v>
      </c>
      <c r="H156" t="s">
        <v>513</v>
      </c>
    </row>
    <row r="157" spans="1:8" x14ac:dyDescent="0.25">
      <c r="A157" t="s">
        <v>514</v>
      </c>
      <c r="B157" t="s">
        <v>515</v>
      </c>
      <c r="C157" t="s">
        <v>29</v>
      </c>
      <c r="D157">
        <f>IFERROR(VLOOKUP($C$157,'Tantárgyi adatok'!B:D,2,FALSE),"nincs")</f>
        <v>0</v>
      </c>
      <c r="E157">
        <f>IFERROR(VLOOKUP($C$157,'Tantárgyi adatok'!B:D,3,FALSE),"nincs")</f>
        <v>0</v>
      </c>
      <c r="F157" t="s">
        <v>1319</v>
      </c>
      <c r="H157" t="s">
        <v>516</v>
      </c>
    </row>
    <row r="158" spans="1:8" x14ac:dyDescent="0.25">
      <c r="A158" t="s">
        <v>517</v>
      </c>
      <c r="B158" t="s">
        <v>518</v>
      </c>
      <c r="C158" t="s">
        <v>31</v>
      </c>
      <c r="D158">
        <f>IFERROR(VLOOKUP($C$158,'Tantárgyi adatok'!B:D,2,FALSE),"nincs")</f>
        <v>0</v>
      </c>
      <c r="E158">
        <f>IFERROR(VLOOKUP($C$158,'Tantárgyi adatok'!B:D,3,FALSE),"nincs")</f>
        <v>0</v>
      </c>
      <c r="F158" t="s">
        <v>1364</v>
      </c>
      <c r="H158" t="s">
        <v>519</v>
      </c>
    </row>
    <row r="159" spans="1:8" x14ac:dyDescent="0.25">
      <c r="A159" t="s">
        <v>520</v>
      </c>
      <c r="B159" t="s">
        <v>521</v>
      </c>
      <c r="C159" t="s">
        <v>33</v>
      </c>
      <c r="D159">
        <f>IFERROR(VLOOKUP($C$159,'Tantárgyi adatok'!B:D,2,FALSE),"nincs")</f>
        <v>0</v>
      </c>
      <c r="E159">
        <f>IFERROR(VLOOKUP($C$159,'Tantárgyi adatok'!B:D,3,FALSE),"nincs")</f>
        <v>0</v>
      </c>
      <c r="F159" t="s">
        <v>1330</v>
      </c>
      <c r="H159" t="s">
        <v>522</v>
      </c>
    </row>
    <row r="160" spans="1:8" x14ac:dyDescent="0.25">
      <c r="A160" t="s">
        <v>523</v>
      </c>
      <c r="B160" t="s">
        <v>524</v>
      </c>
      <c r="C160" t="s">
        <v>33</v>
      </c>
      <c r="D160">
        <f>IFERROR(VLOOKUP($C$160,'Tantárgyi adatok'!B:D,2,FALSE),"nincs")</f>
        <v>0</v>
      </c>
      <c r="E160">
        <f>IFERROR(VLOOKUP($C$160,'Tantárgyi adatok'!B:D,3,FALSE),"nincs")</f>
        <v>0</v>
      </c>
      <c r="F160" t="s">
        <v>1361</v>
      </c>
      <c r="H160" t="s">
        <v>525</v>
      </c>
    </row>
    <row r="161" spans="1:8" x14ac:dyDescent="0.25">
      <c r="A161" t="s">
        <v>526</v>
      </c>
      <c r="B161" t="s">
        <v>527</v>
      </c>
      <c r="C161" t="s">
        <v>33</v>
      </c>
      <c r="D161">
        <f>IFERROR(VLOOKUP($C$161,'Tantárgyi adatok'!B:D,2,FALSE),"nincs")</f>
        <v>0</v>
      </c>
      <c r="E161">
        <f>IFERROR(VLOOKUP($C$161,'Tantárgyi adatok'!B:D,3,FALSE),"nincs")</f>
        <v>0</v>
      </c>
      <c r="F161" t="s">
        <v>1354</v>
      </c>
      <c r="H161" t="s">
        <v>528</v>
      </c>
    </row>
    <row r="162" spans="1:8" x14ac:dyDescent="0.25">
      <c r="A162" t="s">
        <v>529</v>
      </c>
      <c r="B162" t="s">
        <v>530</v>
      </c>
      <c r="C162" t="s">
        <v>33</v>
      </c>
      <c r="D162">
        <f>IFERROR(VLOOKUP($C$162,'Tantárgyi adatok'!B:D,2,FALSE),"nincs")</f>
        <v>0</v>
      </c>
      <c r="E162">
        <f>IFERROR(VLOOKUP($C$162,'Tantárgyi adatok'!B:D,3,FALSE),"nincs")</f>
        <v>0</v>
      </c>
      <c r="F162" t="s">
        <v>1351</v>
      </c>
      <c r="H162" t="s">
        <v>531</v>
      </c>
    </row>
    <row r="163" spans="1:8" x14ac:dyDescent="0.25">
      <c r="A163" t="s">
        <v>532</v>
      </c>
      <c r="B163" t="s">
        <v>533</v>
      </c>
      <c r="C163" t="s">
        <v>33</v>
      </c>
      <c r="D163">
        <f>IFERROR(VLOOKUP($C$163,'Tantárgyi adatok'!B:D,2,FALSE),"nincs")</f>
        <v>0</v>
      </c>
      <c r="E163">
        <f>IFERROR(VLOOKUP($C$163,'Tantárgyi adatok'!B:D,3,FALSE),"nincs")</f>
        <v>0</v>
      </c>
      <c r="F163" t="s">
        <v>1364</v>
      </c>
      <c r="H163" t="s">
        <v>534</v>
      </c>
    </row>
    <row r="164" spans="1:8" x14ac:dyDescent="0.25">
      <c r="A164" t="s">
        <v>535</v>
      </c>
      <c r="B164" t="s">
        <v>536</v>
      </c>
      <c r="C164" t="s">
        <v>33</v>
      </c>
      <c r="D164">
        <f>IFERROR(VLOOKUP($C$164,'Tantárgyi adatok'!B:D,2,FALSE),"nincs")</f>
        <v>0</v>
      </c>
      <c r="E164">
        <f>IFERROR(VLOOKUP($C$164,'Tantárgyi adatok'!B:D,3,FALSE),"nincs")</f>
        <v>0</v>
      </c>
      <c r="F164" t="s">
        <v>1364</v>
      </c>
      <c r="H164" t="s">
        <v>537</v>
      </c>
    </row>
    <row r="165" spans="1:8" x14ac:dyDescent="0.25">
      <c r="A165" t="s">
        <v>538</v>
      </c>
      <c r="B165" t="s">
        <v>539</v>
      </c>
      <c r="C165" t="s">
        <v>33</v>
      </c>
      <c r="D165">
        <f>IFERROR(VLOOKUP($C$165,'Tantárgyi adatok'!B:D,2,FALSE),"nincs")</f>
        <v>0</v>
      </c>
      <c r="E165">
        <f>IFERROR(VLOOKUP($C$165,'Tantárgyi adatok'!B:D,3,FALSE),"nincs")</f>
        <v>0</v>
      </c>
      <c r="F165" t="s">
        <v>1326</v>
      </c>
      <c r="H165" t="s">
        <v>540</v>
      </c>
    </row>
    <row r="166" spans="1:8" x14ac:dyDescent="0.25">
      <c r="A166" t="s">
        <v>541</v>
      </c>
      <c r="B166" t="s">
        <v>542</v>
      </c>
      <c r="C166" t="s">
        <v>35</v>
      </c>
      <c r="D166">
        <f>IFERROR(VLOOKUP($C$166,'Tantárgyi adatok'!B:D,2,FALSE),"nincs")</f>
        <v>0</v>
      </c>
      <c r="E166">
        <f>IFERROR(VLOOKUP($C$166,'Tantárgyi adatok'!B:D,3,FALSE),"nincs")</f>
        <v>0</v>
      </c>
      <c r="F166" t="s">
        <v>1321</v>
      </c>
      <c r="H166" t="s">
        <v>543</v>
      </c>
    </row>
    <row r="167" spans="1:8" x14ac:dyDescent="0.25">
      <c r="A167" t="s">
        <v>544</v>
      </c>
      <c r="B167" t="s">
        <v>545</v>
      </c>
      <c r="C167" t="s">
        <v>35</v>
      </c>
      <c r="D167">
        <f>IFERROR(VLOOKUP($C$167,'Tantárgyi adatok'!B:D,2,FALSE),"nincs")</f>
        <v>0</v>
      </c>
      <c r="E167">
        <f>IFERROR(VLOOKUP($C$167,'Tantárgyi adatok'!B:D,3,FALSE),"nincs")</f>
        <v>0</v>
      </c>
      <c r="F167" t="s">
        <v>1315</v>
      </c>
      <c r="H167" t="s">
        <v>546</v>
      </c>
    </row>
    <row r="168" spans="1:8" x14ac:dyDescent="0.25">
      <c r="A168" t="s">
        <v>547</v>
      </c>
      <c r="B168" t="s">
        <v>548</v>
      </c>
      <c r="C168" t="s">
        <v>35</v>
      </c>
      <c r="D168">
        <f>IFERROR(VLOOKUP($C$168,'Tantárgyi adatok'!B:D,2,FALSE),"nincs")</f>
        <v>0</v>
      </c>
      <c r="E168">
        <f>IFERROR(VLOOKUP($C$168,'Tantárgyi adatok'!B:D,3,FALSE),"nincs")</f>
        <v>0</v>
      </c>
      <c r="F168" t="s">
        <v>1315</v>
      </c>
      <c r="H168" t="s">
        <v>549</v>
      </c>
    </row>
    <row r="169" spans="1:8" x14ac:dyDescent="0.25">
      <c r="A169" t="s">
        <v>550</v>
      </c>
      <c r="B169" t="s">
        <v>551</v>
      </c>
      <c r="C169" t="s">
        <v>35</v>
      </c>
      <c r="D169">
        <f>IFERROR(VLOOKUP($C$169,'Tantárgyi adatok'!B:D,2,FALSE),"nincs")</f>
        <v>0</v>
      </c>
      <c r="E169">
        <f>IFERROR(VLOOKUP($C$169,'Tantárgyi adatok'!B:D,3,FALSE),"nincs")</f>
        <v>0</v>
      </c>
      <c r="F169" t="s">
        <v>1315</v>
      </c>
      <c r="H169" t="s">
        <v>552</v>
      </c>
    </row>
    <row r="170" spans="1:8" x14ac:dyDescent="0.25">
      <c r="A170" t="s">
        <v>553</v>
      </c>
      <c r="B170" t="s">
        <v>554</v>
      </c>
      <c r="C170" t="s">
        <v>35</v>
      </c>
      <c r="D170">
        <f>IFERROR(VLOOKUP($C$170,'Tantárgyi adatok'!B:D,2,FALSE),"nincs")</f>
        <v>0</v>
      </c>
      <c r="E170">
        <f>IFERROR(VLOOKUP($C$170,'Tantárgyi adatok'!B:D,3,FALSE),"nincs")</f>
        <v>0</v>
      </c>
      <c r="F170" t="s">
        <v>1346</v>
      </c>
      <c r="H170" t="s">
        <v>555</v>
      </c>
    </row>
    <row r="171" spans="1:8" x14ac:dyDescent="0.25">
      <c r="A171" t="s">
        <v>556</v>
      </c>
      <c r="B171" t="s">
        <v>557</v>
      </c>
      <c r="C171" t="s">
        <v>35</v>
      </c>
      <c r="D171">
        <f>IFERROR(VLOOKUP($C$171,'Tantárgyi adatok'!B:D,2,FALSE),"nincs")</f>
        <v>0</v>
      </c>
      <c r="E171">
        <f>IFERROR(VLOOKUP($C$171,'Tantárgyi adatok'!B:D,3,FALSE),"nincs")</f>
        <v>0</v>
      </c>
      <c r="F171" t="s">
        <v>1326</v>
      </c>
      <c r="H171" t="s">
        <v>558</v>
      </c>
    </row>
    <row r="172" spans="1:8" x14ac:dyDescent="0.25">
      <c r="A172" t="s">
        <v>559</v>
      </c>
      <c r="B172" t="s">
        <v>560</v>
      </c>
      <c r="C172" t="s">
        <v>35</v>
      </c>
      <c r="D172">
        <f>IFERROR(VLOOKUP($C$172,'Tantárgyi adatok'!B:D,2,FALSE),"nincs")</f>
        <v>0</v>
      </c>
      <c r="E172">
        <f>IFERROR(VLOOKUP($C$172,'Tantárgyi adatok'!B:D,3,FALSE),"nincs")</f>
        <v>0</v>
      </c>
      <c r="F172" t="s">
        <v>1323</v>
      </c>
      <c r="H172" t="s">
        <v>561</v>
      </c>
    </row>
    <row r="173" spans="1:8" x14ac:dyDescent="0.25">
      <c r="A173" t="s">
        <v>562</v>
      </c>
      <c r="B173" t="s">
        <v>563</v>
      </c>
      <c r="C173" t="s">
        <v>35</v>
      </c>
      <c r="D173">
        <f>IFERROR(VLOOKUP($C$173,'Tantárgyi adatok'!B:D,2,FALSE),"nincs")</f>
        <v>0</v>
      </c>
      <c r="E173">
        <f>IFERROR(VLOOKUP($C$173,'Tantárgyi adatok'!B:D,3,FALSE),"nincs")</f>
        <v>0</v>
      </c>
      <c r="F173" t="s">
        <v>1322</v>
      </c>
      <c r="H173" t="s">
        <v>564</v>
      </c>
    </row>
    <row r="174" spans="1:8" x14ac:dyDescent="0.25">
      <c r="A174" t="s">
        <v>565</v>
      </c>
      <c r="B174" t="s">
        <v>566</v>
      </c>
      <c r="C174" t="s">
        <v>35</v>
      </c>
      <c r="D174">
        <f>IFERROR(VLOOKUP($C$174,'Tantárgyi adatok'!B:D,2,FALSE),"nincs")</f>
        <v>0</v>
      </c>
      <c r="E174">
        <f>IFERROR(VLOOKUP($C$174,'Tantárgyi adatok'!B:D,3,FALSE),"nincs")</f>
        <v>0</v>
      </c>
      <c r="F174" t="s">
        <v>1318</v>
      </c>
      <c r="H174" t="s">
        <v>567</v>
      </c>
    </row>
    <row r="175" spans="1:8" x14ac:dyDescent="0.25">
      <c r="A175" t="s">
        <v>565</v>
      </c>
      <c r="B175" t="s">
        <v>566</v>
      </c>
      <c r="C175" t="s">
        <v>35</v>
      </c>
      <c r="D175">
        <f>IFERROR(VLOOKUP($C$175,'Tantárgyi adatok'!B:D,2,FALSE),"nincs")</f>
        <v>0</v>
      </c>
      <c r="E175">
        <f>IFERROR(VLOOKUP($C$175,'Tantárgyi adatok'!B:D,3,FALSE),"nincs")</f>
        <v>0</v>
      </c>
      <c r="F175" t="s">
        <v>1316</v>
      </c>
      <c r="H175" t="s">
        <v>567</v>
      </c>
    </row>
    <row r="176" spans="1:8" x14ac:dyDescent="0.25">
      <c r="A176" t="s">
        <v>568</v>
      </c>
      <c r="B176" t="s">
        <v>569</v>
      </c>
      <c r="C176" t="s">
        <v>35</v>
      </c>
      <c r="D176">
        <f>IFERROR(VLOOKUP($C$176,'Tantárgyi adatok'!B:D,2,FALSE),"nincs")</f>
        <v>0</v>
      </c>
      <c r="E176">
        <f>IFERROR(VLOOKUP($C$176,'Tantárgyi adatok'!B:D,3,FALSE),"nincs")</f>
        <v>0</v>
      </c>
      <c r="F176" t="s">
        <v>1316</v>
      </c>
      <c r="H176" t="s">
        <v>570</v>
      </c>
    </row>
    <row r="177" spans="1:8" x14ac:dyDescent="0.25">
      <c r="A177" t="s">
        <v>571</v>
      </c>
      <c r="B177" t="s">
        <v>572</v>
      </c>
      <c r="C177" t="s">
        <v>35</v>
      </c>
      <c r="D177">
        <f>IFERROR(VLOOKUP($C$177,'Tantárgyi adatok'!B:D,2,FALSE),"nincs")</f>
        <v>0</v>
      </c>
      <c r="E177">
        <f>IFERROR(VLOOKUP($C$177,'Tantárgyi adatok'!B:D,3,FALSE),"nincs")</f>
        <v>0</v>
      </c>
      <c r="F177" t="s">
        <v>1341</v>
      </c>
      <c r="H177" t="s">
        <v>573</v>
      </c>
    </row>
    <row r="178" spans="1:8" x14ac:dyDescent="0.25">
      <c r="A178" t="s">
        <v>574</v>
      </c>
      <c r="B178" t="s">
        <v>575</v>
      </c>
      <c r="C178" t="s">
        <v>35</v>
      </c>
      <c r="D178">
        <f>IFERROR(VLOOKUP($C$178,'Tantárgyi adatok'!B:D,2,FALSE),"nincs")</f>
        <v>0</v>
      </c>
      <c r="E178">
        <f>IFERROR(VLOOKUP($C$178,'Tantárgyi adatok'!B:D,3,FALSE),"nincs")</f>
        <v>0</v>
      </c>
      <c r="F178" t="s">
        <v>1316</v>
      </c>
      <c r="H178" t="s">
        <v>576</v>
      </c>
    </row>
    <row r="179" spans="1:8" x14ac:dyDescent="0.25">
      <c r="A179" t="s">
        <v>577</v>
      </c>
      <c r="B179" t="s">
        <v>578</v>
      </c>
      <c r="C179" t="s">
        <v>35</v>
      </c>
      <c r="D179">
        <f>IFERROR(VLOOKUP($C$179,'Tantárgyi adatok'!B:D,2,FALSE),"nincs")</f>
        <v>0</v>
      </c>
      <c r="E179">
        <f>IFERROR(VLOOKUP($C$179,'Tantárgyi adatok'!B:D,3,FALSE),"nincs")</f>
        <v>0</v>
      </c>
      <c r="F179" t="s">
        <v>1341</v>
      </c>
      <c r="H179" t="s">
        <v>579</v>
      </c>
    </row>
    <row r="180" spans="1:8" x14ac:dyDescent="0.25">
      <c r="A180" t="s">
        <v>580</v>
      </c>
      <c r="B180" t="s">
        <v>581</v>
      </c>
      <c r="C180" t="s">
        <v>35</v>
      </c>
      <c r="D180">
        <f>IFERROR(VLOOKUP($C$180,'Tantárgyi adatok'!B:D,2,FALSE),"nincs")</f>
        <v>0</v>
      </c>
      <c r="E180">
        <f>IFERROR(VLOOKUP($C$180,'Tantárgyi adatok'!B:D,3,FALSE),"nincs")</f>
        <v>0</v>
      </c>
      <c r="F180" t="s">
        <v>1338</v>
      </c>
      <c r="H180" t="s">
        <v>582</v>
      </c>
    </row>
    <row r="181" spans="1:8" x14ac:dyDescent="0.25">
      <c r="A181" t="s">
        <v>583</v>
      </c>
      <c r="B181" t="s">
        <v>584</v>
      </c>
      <c r="C181" t="s">
        <v>35</v>
      </c>
      <c r="D181">
        <f>IFERROR(VLOOKUP($C$181,'Tantárgyi adatok'!B:D,2,FALSE),"nincs")</f>
        <v>0</v>
      </c>
      <c r="E181">
        <f>IFERROR(VLOOKUP($C$181,'Tantárgyi adatok'!B:D,3,FALSE),"nincs")</f>
        <v>0</v>
      </c>
      <c r="F181" t="s">
        <v>1325</v>
      </c>
      <c r="H181" t="s">
        <v>585</v>
      </c>
    </row>
    <row r="182" spans="1:8" x14ac:dyDescent="0.25">
      <c r="A182" t="s">
        <v>586</v>
      </c>
      <c r="B182" t="s">
        <v>587</v>
      </c>
      <c r="C182" t="s">
        <v>35</v>
      </c>
      <c r="D182">
        <f>IFERROR(VLOOKUP($C$182,'Tantárgyi adatok'!B:D,2,FALSE),"nincs")</f>
        <v>0</v>
      </c>
      <c r="E182">
        <f>IFERROR(VLOOKUP($C$182,'Tantárgyi adatok'!B:D,3,FALSE),"nincs")</f>
        <v>0</v>
      </c>
      <c r="F182" t="s">
        <v>1326</v>
      </c>
      <c r="H182" t="s">
        <v>588</v>
      </c>
    </row>
    <row r="183" spans="1:8" x14ac:dyDescent="0.25">
      <c r="A183" t="s">
        <v>589</v>
      </c>
      <c r="B183" t="s">
        <v>590</v>
      </c>
      <c r="C183" t="s">
        <v>35</v>
      </c>
      <c r="D183">
        <f>IFERROR(VLOOKUP($C$183,'Tantárgyi adatok'!B:D,2,FALSE),"nincs")</f>
        <v>0</v>
      </c>
      <c r="E183">
        <f>IFERROR(VLOOKUP($C$183,'Tantárgyi adatok'!B:D,3,FALSE),"nincs")</f>
        <v>0</v>
      </c>
      <c r="F183" t="s">
        <v>1326</v>
      </c>
      <c r="H183" t="s">
        <v>591</v>
      </c>
    </row>
    <row r="184" spans="1:8" x14ac:dyDescent="0.25">
      <c r="A184" t="s">
        <v>592</v>
      </c>
      <c r="B184" t="s">
        <v>593</v>
      </c>
      <c r="C184" t="s">
        <v>35</v>
      </c>
      <c r="D184">
        <f>IFERROR(VLOOKUP($C$184,'Tantárgyi adatok'!B:D,2,FALSE),"nincs")</f>
        <v>0</v>
      </c>
      <c r="E184">
        <f>IFERROR(VLOOKUP($C$184,'Tantárgyi adatok'!B:D,3,FALSE),"nincs")</f>
        <v>0</v>
      </c>
      <c r="F184" t="s">
        <v>1346</v>
      </c>
      <c r="H184" t="s">
        <v>594</v>
      </c>
    </row>
    <row r="185" spans="1:8" x14ac:dyDescent="0.25">
      <c r="A185" t="s">
        <v>595</v>
      </c>
      <c r="B185" t="s">
        <v>596</v>
      </c>
      <c r="C185" t="s">
        <v>35</v>
      </c>
      <c r="D185">
        <f>IFERROR(VLOOKUP($C$185,'Tantárgyi adatok'!B:D,2,FALSE),"nincs")</f>
        <v>0</v>
      </c>
      <c r="E185">
        <f>IFERROR(VLOOKUP($C$185,'Tantárgyi adatok'!B:D,3,FALSE),"nincs")</f>
        <v>0</v>
      </c>
      <c r="F185" t="s">
        <v>1349</v>
      </c>
      <c r="H185" t="s">
        <v>597</v>
      </c>
    </row>
    <row r="186" spans="1:8" x14ac:dyDescent="0.25">
      <c r="A186" t="s">
        <v>598</v>
      </c>
      <c r="B186" t="s">
        <v>599</v>
      </c>
      <c r="C186" t="s">
        <v>35</v>
      </c>
      <c r="D186">
        <f>IFERROR(VLOOKUP($C$186,'Tantárgyi adatok'!B:D,2,FALSE),"nincs")</f>
        <v>0</v>
      </c>
      <c r="E186">
        <f>IFERROR(VLOOKUP($C$186,'Tantárgyi adatok'!B:D,3,FALSE),"nincs")</f>
        <v>0</v>
      </c>
      <c r="F186" t="s">
        <v>1345</v>
      </c>
      <c r="H186" t="s">
        <v>600</v>
      </c>
    </row>
    <row r="187" spans="1:8" x14ac:dyDescent="0.25">
      <c r="A187" t="s">
        <v>601</v>
      </c>
      <c r="B187" t="s">
        <v>602</v>
      </c>
      <c r="C187" t="s">
        <v>35</v>
      </c>
      <c r="D187">
        <f>IFERROR(VLOOKUP($C$187,'Tantárgyi adatok'!B:D,2,FALSE),"nincs")</f>
        <v>0</v>
      </c>
      <c r="E187">
        <f>IFERROR(VLOOKUP($C$187,'Tantárgyi adatok'!B:D,3,FALSE),"nincs")</f>
        <v>0</v>
      </c>
      <c r="F187" t="s">
        <v>1326</v>
      </c>
      <c r="H187" t="s">
        <v>603</v>
      </c>
    </row>
    <row r="188" spans="1:8" x14ac:dyDescent="0.25">
      <c r="A188" t="s">
        <v>604</v>
      </c>
      <c r="B188" t="s">
        <v>605</v>
      </c>
      <c r="C188" t="s">
        <v>35</v>
      </c>
      <c r="D188">
        <f>IFERROR(VLOOKUP($C$188,'Tantárgyi adatok'!B:D,2,FALSE),"nincs")</f>
        <v>0</v>
      </c>
      <c r="E188">
        <f>IFERROR(VLOOKUP($C$188,'Tantárgyi adatok'!B:D,3,FALSE),"nincs")</f>
        <v>0</v>
      </c>
      <c r="F188" t="s">
        <v>1326</v>
      </c>
      <c r="H188" t="s">
        <v>606</v>
      </c>
    </row>
    <row r="189" spans="1:8" x14ac:dyDescent="0.25">
      <c r="A189" t="s">
        <v>607</v>
      </c>
      <c r="B189" t="s">
        <v>608</v>
      </c>
      <c r="C189" t="s">
        <v>35</v>
      </c>
      <c r="D189">
        <f>IFERROR(VLOOKUP($C$189,'Tantárgyi adatok'!B:D,2,FALSE),"nincs")</f>
        <v>0</v>
      </c>
      <c r="E189">
        <f>IFERROR(VLOOKUP($C$189,'Tantárgyi adatok'!B:D,3,FALSE),"nincs")</f>
        <v>0</v>
      </c>
      <c r="F189" t="s">
        <v>1326</v>
      </c>
      <c r="H189" t="s">
        <v>609</v>
      </c>
    </row>
    <row r="190" spans="1:8" x14ac:dyDescent="0.25">
      <c r="A190" t="s">
        <v>610</v>
      </c>
      <c r="B190" t="s">
        <v>611</v>
      </c>
      <c r="C190" t="s">
        <v>35</v>
      </c>
      <c r="D190">
        <f>IFERROR(VLOOKUP($C$190,'Tantárgyi adatok'!B:D,2,FALSE),"nincs")</f>
        <v>0</v>
      </c>
      <c r="E190">
        <f>IFERROR(VLOOKUP($C$190,'Tantárgyi adatok'!B:D,3,FALSE),"nincs")</f>
        <v>0</v>
      </c>
      <c r="F190" t="s">
        <v>1316</v>
      </c>
      <c r="H190" t="s">
        <v>612</v>
      </c>
    </row>
    <row r="191" spans="1:8" x14ac:dyDescent="0.25">
      <c r="A191" t="s">
        <v>613</v>
      </c>
      <c r="B191" t="s">
        <v>614</v>
      </c>
      <c r="C191" t="s">
        <v>35</v>
      </c>
      <c r="D191">
        <f>IFERROR(VLOOKUP($C$191,'Tantárgyi adatok'!B:D,2,FALSE),"nincs")</f>
        <v>0</v>
      </c>
      <c r="E191">
        <f>IFERROR(VLOOKUP($C$191,'Tantárgyi adatok'!B:D,3,FALSE),"nincs")</f>
        <v>0</v>
      </c>
      <c r="F191" t="s">
        <v>1316</v>
      </c>
      <c r="H191" t="s">
        <v>615</v>
      </c>
    </row>
    <row r="192" spans="1:8" x14ac:dyDescent="0.25">
      <c r="A192" t="s">
        <v>616</v>
      </c>
      <c r="B192" t="s">
        <v>617</v>
      </c>
      <c r="C192" t="s">
        <v>35</v>
      </c>
      <c r="D192">
        <f>IFERROR(VLOOKUP($C$192,'Tantárgyi adatok'!B:D,2,FALSE),"nincs")</f>
        <v>0</v>
      </c>
      <c r="E192">
        <f>IFERROR(VLOOKUP($C$192,'Tantárgyi adatok'!B:D,3,FALSE),"nincs")</f>
        <v>0</v>
      </c>
      <c r="F192" t="s">
        <v>1316</v>
      </c>
      <c r="H192" t="s">
        <v>618</v>
      </c>
    </row>
    <row r="193" spans="1:8" x14ac:dyDescent="0.25">
      <c r="A193" t="s">
        <v>619</v>
      </c>
      <c r="B193" t="s">
        <v>620</v>
      </c>
      <c r="C193" t="s">
        <v>35</v>
      </c>
      <c r="D193">
        <f>IFERROR(VLOOKUP($C$193,'Tantárgyi adatok'!B:D,2,FALSE),"nincs")</f>
        <v>0</v>
      </c>
      <c r="E193">
        <f>IFERROR(VLOOKUP($C$193,'Tantárgyi adatok'!B:D,3,FALSE),"nincs")</f>
        <v>0</v>
      </c>
      <c r="F193" t="s">
        <v>1361</v>
      </c>
      <c r="H193" t="s">
        <v>621</v>
      </c>
    </row>
    <row r="194" spans="1:8" x14ac:dyDescent="0.25">
      <c r="A194" t="s">
        <v>622</v>
      </c>
      <c r="B194" t="s">
        <v>623</v>
      </c>
      <c r="C194" t="s">
        <v>35</v>
      </c>
      <c r="D194">
        <f>IFERROR(VLOOKUP($C$194,'Tantárgyi adatok'!B:D,2,FALSE),"nincs")</f>
        <v>0</v>
      </c>
      <c r="E194">
        <f>IFERROR(VLOOKUP($C$194,'Tantárgyi adatok'!B:D,3,FALSE),"nincs")</f>
        <v>0</v>
      </c>
      <c r="F194" t="s">
        <v>1334</v>
      </c>
      <c r="H194" t="s">
        <v>624</v>
      </c>
    </row>
    <row r="195" spans="1:8" x14ac:dyDescent="0.25">
      <c r="A195" t="s">
        <v>625</v>
      </c>
      <c r="B195" t="s">
        <v>626</v>
      </c>
      <c r="C195" t="s">
        <v>35</v>
      </c>
      <c r="D195">
        <f>IFERROR(VLOOKUP($C$195,'Tantárgyi adatok'!B:D,2,FALSE),"nincs")</f>
        <v>0</v>
      </c>
      <c r="E195">
        <f>IFERROR(VLOOKUP($C$195,'Tantárgyi adatok'!B:D,3,FALSE),"nincs")</f>
        <v>0</v>
      </c>
      <c r="F195" t="s">
        <v>1334</v>
      </c>
      <c r="H195" t="s">
        <v>627</v>
      </c>
    </row>
    <row r="196" spans="1:8" x14ac:dyDescent="0.25">
      <c r="A196" t="s">
        <v>628</v>
      </c>
      <c r="B196" t="s">
        <v>629</v>
      </c>
      <c r="C196" t="s">
        <v>35</v>
      </c>
      <c r="D196">
        <f>IFERROR(VLOOKUP($C$196,'Tantárgyi adatok'!B:D,2,FALSE),"nincs")</f>
        <v>0</v>
      </c>
      <c r="E196">
        <f>IFERROR(VLOOKUP($C$196,'Tantárgyi adatok'!B:D,3,FALSE),"nincs")</f>
        <v>0</v>
      </c>
      <c r="F196" t="s">
        <v>1328</v>
      </c>
      <c r="H196" t="s">
        <v>630</v>
      </c>
    </row>
    <row r="197" spans="1:8" x14ac:dyDescent="0.25">
      <c r="A197" t="s">
        <v>631</v>
      </c>
      <c r="B197" t="s">
        <v>632</v>
      </c>
      <c r="C197" t="s">
        <v>35</v>
      </c>
      <c r="D197">
        <f>IFERROR(VLOOKUP($C$197,'Tantárgyi adatok'!B:D,2,FALSE),"nincs")</f>
        <v>0</v>
      </c>
      <c r="E197">
        <f>IFERROR(VLOOKUP($C$197,'Tantárgyi adatok'!B:D,3,FALSE),"nincs")</f>
        <v>0</v>
      </c>
      <c r="F197" t="s">
        <v>1365</v>
      </c>
      <c r="H197" t="s">
        <v>633</v>
      </c>
    </row>
    <row r="198" spans="1:8" x14ac:dyDescent="0.25">
      <c r="A198" t="s">
        <v>634</v>
      </c>
      <c r="B198" t="s">
        <v>635</v>
      </c>
      <c r="C198" t="s">
        <v>35</v>
      </c>
      <c r="D198">
        <f>IFERROR(VLOOKUP($C$198,'Tantárgyi adatok'!B:D,2,FALSE),"nincs")</f>
        <v>0</v>
      </c>
      <c r="E198">
        <f>IFERROR(VLOOKUP($C$198,'Tantárgyi adatok'!B:D,3,FALSE),"nincs")</f>
        <v>0</v>
      </c>
      <c r="F198" t="s">
        <v>1365</v>
      </c>
      <c r="H198" t="s">
        <v>636</v>
      </c>
    </row>
    <row r="199" spans="1:8" x14ac:dyDescent="0.25">
      <c r="A199" t="s">
        <v>637</v>
      </c>
      <c r="B199" t="s">
        <v>638</v>
      </c>
      <c r="C199" t="s">
        <v>35</v>
      </c>
      <c r="D199">
        <f>IFERROR(VLOOKUP($C$199,'Tantárgyi adatok'!B:D,2,FALSE),"nincs")</f>
        <v>0</v>
      </c>
      <c r="E199">
        <f>IFERROR(VLOOKUP($C$199,'Tantárgyi adatok'!B:D,3,FALSE),"nincs")</f>
        <v>0</v>
      </c>
      <c r="F199" t="s">
        <v>63</v>
      </c>
      <c r="H199" t="s">
        <v>639</v>
      </c>
    </row>
    <row r="200" spans="1:8" x14ac:dyDescent="0.25">
      <c r="A200" t="s">
        <v>640</v>
      </c>
      <c r="B200" t="s">
        <v>641</v>
      </c>
      <c r="C200" t="s">
        <v>35</v>
      </c>
      <c r="D200">
        <f>IFERROR(VLOOKUP($C$200,'Tantárgyi adatok'!B:D,2,FALSE),"nincs")</f>
        <v>0</v>
      </c>
      <c r="E200">
        <f>IFERROR(VLOOKUP($C$200,'Tantárgyi adatok'!B:D,3,FALSE),"nincs")</f>
        <v>0</v>
      </c>
      <c r="F200" t="s">
        <v>63</v>
      </c>
      <c r="H200" t="s">
        <v>642</v>
      </c>
    </row>
    <row r="201" spans="1:8" x14ac:dyDescent="0.25">
      <c r="A201" t="s">
        <v>643</v>
      </c>
      <c r="B201" t="s">
        <v>644</v>
      </c>
      <c r="C201" t="s">
        <v>35</v>
      </c>
      <c r="D201">
        <f>IFERROR(VLOOKUP($C$201,'Tantárgyi adatok'!B:D,2,FALSE),"nincs")</f>
        <v>0</v>
      </c>
      <c r="E201">
        <f>IFERROR(VLOOKUP($C$201,'Tantárgyi adatok'!B:D,3,FALSE),"nincs")</f>
        <v>0</v>
      </c>
      <c r="F201" t="s">
        <v>1366</v>
      </c>
      <c r="H201" t="s">
        <v>645</v>
      </c>
    </row>
    <row r="202" spans="1:8" x14ac:dyDescent="0.25">
      <c r="A202" t="s">
        <v>646</v>
      </c>
      <c r="B202" t="s">
        <v>647</v>
      </c>
      <c r="C202" t="s">
        <v>35</v>
      </c>
      <c r="D202">
        <f>IFERROR(VLOOKUP($C$202,'Tantárgyi adatok'!B:D,2,FALSE),"nincs")</f>
        <v>0</v>
      </c>
      <c r="E202">
        <f>IFERROR(VLOOKUP($C$202,'Tantárgyi adatok'!B:D,3,FALSE),"nincs")</f>
        <v>0</v>
      </c>
      <c r="F202" t="s">
        <v>1321</v>
      </c>
      <c r="H202" t="s">
        <v>648</v>
      </c>
    </row>
    <row r="203" spans="1:8" x14ac:dyDescent="0.25">
      <c r="A203" t="s">
        <v>649</v>
      </c>
      <c r="B203" t="s">
        <v>650</v>
      </c>
      <c r="C203" t="s">
        <v>35</v>
      </c>
      <c r="D203">
        <f>IFERROR(VLOOKUP($C$203,'Tantárgyi adatok'!B:D,2,FALSE),"nincs")</f>
        <v>0</v>
      </c>
      <c r="E203">
        <f>IFERROR(VLOOKUP($C$203,'Tantárgyi adatok'!B:D,3,FALSE),"nincs")</f>
        <v>0</v>
      </c>
      <c r="F203" t="s">
        <v>1321</v>
      </c>
      <c r="H203" t="s">
        <v>651</v>
      </c>
    </row>
    <row r="204" spans="1:8" x14ac:dyDescent="0.25">
      <c r="A204" t="s">
        <v>652</v>
      </c>
      <c r="B204" t="s">
        <v>653</v>
      </c>
      <c r="C204" t="s">
        <v>35</v>
      </c>
      <c r="D204">
        <f>IFERROR(VLOOKUP($C$204,'Tantárgyi adatok'!B:D,2,FALSE),"nincs")</f>
        <v>0</v>
      </c>
      <c r="E204">
        <f>IFERROR(VLOOKUP($C$204,'Tantárgyi adatok'!B:D,3,FALSE),"nincs")</f>
        <v>0</v>
      </c>
      <c r="F204" t="s">
        <v>1341</v>
      </c>
      <c r="H204" t="s">
        <v>654</v>
      </c>
    </row>
    <row r="205" spans="1:8" x14ac:dyDescent="0.25">
      <c r="A205" t="s">
        <v>655</v>
      </c>
      <c r="B205" t="s">
        <v>656</v>
      </c>
      <c r="C205" t="s">
        <v>35</v>
      </c>
      <c r="D205">
        <f>IFERROR(VLOOKUP($C$205,'Tantárgyi adatok'!B:D,2,FALSE),"nincs")</f>
        <v>0</v>
      </c>
      <c r="E205">
        <f>IFERROR(VLOOKUP($C$205,'Tantárgyi adatok'!B:D,3,FALSE),"nincs")</f>
        <v>0</v>
      </c>
      <c r="F205" t="s">
        <v>1341</v>
      </c>
      <c r="H205" t="s">
        <v>657</v>
      </c>
    </row>
    <row r="206" spans="1:8" x14ac:dyDescent="0.25">
      <c r="A206" t="s">
        <v>658</v>
      </c>
      <c r="B206" t="s">
        <v>659</v>
      </c>
      <c r="C206" t="s">
        <v>35</v>
      </c>
      <c r="D206">
        <f>IFERROR(VLOOKUP($C$206,'Tantárgyi adatok'!B:D,2,FALSE),"nincs")</f>
        <v>0</v>
      </c>
      <c r="E206">
        <f>IFERROR(VLOOKUP($C$206,'Tantárgyi adatok'!B:D,3,FALSE),"nincs")</f>
        <v>0</v>
      </c>
      <c r="F206" t="s">
        <v>1342</v>
      </c>
      <c r="H206" t="s">
        <v>660</v>
      </c>
    </row>
    <row r="207" spans="1:8" x14ac:dyDescent="0.25">
      <c r="A207" t="s">
        <v>661</v>
      </c>
      <c r="B207" t="s">
        <v>662</v>
      </c>
      <c r="C207" t="s">
        <v>35</v>
      </c>
      <c r="D207">
        <f>IFERROR(VLOOKUP($C$207,'Tantárgyi adatok'!B:D,2,FALSE),"nincs")</f>
        <v>0</v>
      </c>
      <c r="E207">
        <f>IFERROR(VLOOKUP($C$207,'Tantárgyi adatok'!B:D,3,FALSE),"nincs")</f>
        <v>0</v>
      </c>
      <c r="F207" t="s">
        <v>1365</v>
      </c>
      <c r="H207" t="s">
        <v>663</v>
      </c>
    </row>
    <row r="208" spans="1:8" x14ac:dyDescent="0.25">
      <c r="A208" t="s">
        <v>664</v>
      </c>
      <c r="B208" t="s">
        <v>665</v>
      </c>
      <c r="C208" t="s">
        <v>35</v>
      </c>
      <c r="D208">
        <f>IFERROR(VLOOKUP($C$208,'Tantárgyi adatok'!B:D,2,FALSE),"nincs")</f>
        <v>0</v>
      </c>
      <c r="E208">
        <f>IFERROR(VLOOKUP($C$208,'Tantárgyi adatok'!B:D,3,FALSE),"nincs")</f>
        <v>0</v>
      </c>
      <c r="F208" t="s">
        <v>1365</v>
      </c>
      <c r="H208" t="s">
        <v>666</v>
      </c>
    </row>
    <row r="209" spans="1:8" x14ac:dyDescent="0.25">
      <c r="A209" t="s">
        <v>667</v>
      </c>
      <c r="B209" t="s">
        <v>668</v>
      </c>
      <c r="C209" t="s">
        <v>35</v>
      </c>
      <c r="D209">
        <f>IFERROR(VLOOKUP($C$209,'Tantárgyi adatok'!B:D,2,FALSE),"nincs")</f>
        <v>0</v>
      </c>
      <c r="E209">
        <f>IFERROR(VLOOKUP($C$209,'Tantárgyi adatok'!B:D,3,FALSE),"nincs")</f>
        <v>0</v>
      </c>
      <c r="F209" t="s">
        <v>63</v>
      </c>
      <c r="H209" t="s">
        <v>669</v>
      </c>
    </row>
    <row r="210" spans="1:8" x14ac:dyDescent="0.25">
      <c r="A210" t="s">
        <v>670</v>
      </c>
      <c r="B210" t="s">
        <v>671</v>
      </c>
      <c r="C210" t="s">
        <v>35</v>
      </c>
      <c r="D210">
        <f>IFERROR(VLOOKUP($C$210,'Tantárgyi adatok'!B:D,2,FALSE),"nincs")</f>
        <v>0</v>
      </c>
      <c r="E210">
        <f>IFERROR(VLOOKUP($C$210,'Tantárgyi adatok'!B:D,3,FALSE),"nincs")</f>
        <v>0</v>
      </c>
      <c r="F210" t="s">
        <v>63</v>
      </c>
      <c r="H210" t="s">
        <v>672</v>
      </c>
    </row>
    <row r="211" spans="1:8" x14ac:dyDescent="0.25">
      <c r="A211" t="s">
        <v>673</v>
      </c>
      <c r="B211" t="s">
        <v>674</v>
      </c>
      <c r="C211" t="s">
        <v>35</v>
      </c>
      <c r="D211">
        <f>IFERROR(VLOOKUP($C$211,'Tantárgyi adatok'!B:D,2,FALSE),"nincs")</f>
        <v>0</v>
      </c>
      <c r="E211">
        <f>IFERROR(VLOOKUP($C$211,'Tantárgyi adatok'!B:D,3,FALSE),"nincs")</f>
        <v>0</v>
      </c>
      <c r="F211" t="s">
        <v>1347</v>
      </c>
      <c r="H211" t="s">
        <v>675</v>
      </c>
    </row>
    <row r="212" spans="1:8" x14ac:dyDescent="0.25">
      <c r="A212" t="s">
        <v>676</v>
      </c>
      <c r="B212" t="s">
        <v>677</v>
      </c>
      <c r="C212" t="s">
        <v>35</v>
      </c>
      <c r="D212">
        <f>IFERROR(VLOOKUP($C$212,'Tantárgyi adatok'!B:D,2,FALSE),"nincs")</f>
        <v>0</v>
      </c>
      <c r="E212">
        <f>IFERROR(VLOOKUP($C$212,'Tantárgyi adatok'!B:D,3,FALSE),"nincs")</f>
        <v>0</v>
      </c>
      <c r="F212" t="s">
        <v>1324</v>
      </c>
      <c r="H212" t="s">
        <v>678</v>
      </c>
    </row>
    <row r="213" spans="1:8" x14ac:dyDescent="0.25">
      <c r="A213" t="s">
        <v>679</v>
      </c>
      <c r="B213" t="s">
        <v>680</v>
      </c>
      <c r="C213" t="s">
        <v>35</v>
      </c>
      <c r="D213">
        <f>IFERROR(VLOOKUP($C$213,'Tantárgyi adatok'!B:D,2,FALSE),"nincs")</f>
        <v>0</v>
      </c>
      <c r="E213">
        <f>IFERROR(VLOOKUP($C$213,'Tantárgyi adatok'!B:D,3,FALSE),"nincs")</f>
        <v>0</v>
      </c>
      <c r="F213" t="s">
        <v>1317</v>
      </c>
      <c r="H213" t="s">
        <v>681</v>
      </c>
    </row>
    <row r="214" spans="1:8" x14ac:dyDescent="0.25">
      <c r="A214" t="s">
        <v>682</v>
      </c>
      <c r="B214" t="s">
        <v>683</v>
      </c>
      <c r="C214" t="s">
        <v>35</v>
      </c>
      <c r="D214">
        <f>IFERROR(VLOOKUP($C$214,'Tantárgyi adatok'!B:D,2,FALSE),"nincs")</f>
        <v>0</v>
      </c>
      <c r="E214">
        <f>IFERROR(VLOOKUP($C$214,'Tantárgyi adatok'!B:D,3,FALSE),"nincs")</f>
        <v>0</v>
      </c>
      <c r="F214" t="s">
        <v>1342</v>
      </c>
      <c r="H214" t="s">
        <v>684</v>
      </c>
    </row>
    <row r="215" spans="1:8" x14ac:dyDescent="0.25">
      <c r="A215" t="s">
        <v>685</v>
      </c>
      <c r="B215" t="s">
        <v>686</v>
      </c>
      <c r="C215" t="s">
        <v>35</v>
      </c>
      <c r="D215">
        <f>IFERROR(VLOOKUP($C$215,'Tantárgyi adatok'!B:D,2,FALSE),"nincs")</f>
        <v>0</v>
      </c>
      <c r="E215">
        <f>IFERROR(VLOOKUP($C$215,'Tantárgyi adatok'!B:D,3,FALSE),"nincs")</f>
        <v>0</v>
      </c>
      <c r="F215" t="s">
        <v>1316</v>
      </c>
      <c r="H215" t="s">
        <v>687</v>
      </c>
    </row>
    <row r="216" spans="1:8" x14ac:dyDescent="0.25">
      <c r="A216" t="s">
        <v>688</v>
      </c>
      <c r="B216" t="s">
        <v>689</v>
      </c>
      <c r="C216" t="s">
        <v>35</v>
      </c>
      <c r="D216">
        <f>IFERROR(VLOOKUP($C$216,'Tantárgyi adatok'!B:D,2,FALSE),"nincs")</f>
        <v>0</v>
      </c>
      <c r="E216">
        <f>IFERROR(VLOOKUP($C$216,'Tantárgyi adatok'!B:D,3,FALSE),"nincs")</f>
        <v>0</v>
      </c>
      <c r="F216" t="s">
        <v>1349</v>
      </c>
      <c r="H216" t="s">
        <v>690</v>
      </c>
    </row>
    <row r="217" spans="1:8" x14ac:dyDescent="0.25">
      <c r="A217" t="s">
        <v>691</v>
      </c>
      <c r="B217" t="s">
        <v>692</v>
      </c>
      <c r="C217" t="s">
        <v>35</v>
      </c>
      <c r="D217">
        <f>IFERROR(VLOOKUP($C$217,'Tantárgyi adatok'!B:D,2,FALSE),"nincs")</f>
        <v>0</v>
      </c>
      <c r="E217">
        <f>IFERROR(VLOOKUP($C$217,'Tantárgyi adatok'!B:D,3,FALSE),"nincs")</f>
        <v>0</v>
      </c>
      <c r="F217" t="s">
        <v>1342</v>
      </c>
      <c r="H217" t="s">
        <v>693</v>
      </c>
    </row>
    <row r="218" spans="1:8" x14ac:dyDescent="0.25">
      <c r="A218" t="s">
        <v>694</v>
      </c>
      <c r="B218" t="s">
        <v>695</v>
      </c>
      <c r="C218" t="s">
        <v>35</v>
      </c>
      <c r="D218">
        <f>IFERROR(VLOOKUP($C$218,'Tantárgyi adatok'!B:D,2,FALSE),"nincs")</f>
        <v>0</v>
      </c>
      <c r="E218">
        <f>IFERROR(VLOOKUP($C$218,'Tantárgyi adatok'!B:D,3,FALSE),"nincs")</f>
        <v>0</v>
      </c>
      <c r="F218" t="s">
        <v>1315</v>
      </c>
      <c r="H218" t="s">
        <v>696</v>
      </c>
    </row>
    <row r="219" spans="1:8" x14ac:dyDescent="0.25">
      <c r="A219" t="s">
        <v>697</v>
      </c>
      <c r="B219" t="s">
        <v>698</v>
      </c>
      <c r="C219" t="s">
        <v>35</v>
      </c>
      <c r="D219">
        <f>IFERROR(VLOOKUP($C$219,'Tantárgyi adatok'!B:D,2,FALSE),"nincs")</f>
        <v>0</v>
      </c>
      <c r="E219">
        <f>IFERROR(VLOOKUP($C$219,'Tantárgyi adatok'!B:D,3,FALSE),"nincs")</f>
        <v>0</v>
      </c>
      <c r="F219" t="s">
        <v>1315</v>
      </c>
      <c r="H219" t="s">
        <v>699</v>
      </c>
    </row>
    <row r="220" spans="1:8" x14ac:dyDescent="0.25">
      <c r="A220" t="s">
        <v>700</v>
      </c>
      <c r="B220" t="s">
        <v>701</v>
      </c>
      <c r="C220" t="s">
        <v>35</v>
      </c>
      <c r="D220">
        <f>IFERROR(VLOOKUP($C$220,'Tantárgyi adatok'!B:D,2,FALSE),"nincs")</f>
        <v>0</v>
      </c>
      <c r="E220">
        <f>IFERROR(VLOOKUP($C$220,'Tantárgyi adatok'!B:D,3,FALSE),"nincs")</f>
        <v>0</v>
      </c>
      <c r="F220" t="s">
        <v>1315</v>
      </c>
      <c r="H220" t="s">
        <v>702</v>
      </c>
    </row>
    <row r="221" spans="1:8" x14ac:dyDescent="0.25">
      <c r="A221" t="s">
        <v>703</v>
      </c>
      <c r="B221" t="s">
        <v>704</v>
      </c>
      <c r="C221" t="s">
        <v>35</v>
      </c>
      <c r="D221">
        <f>IFERROR(VLOOKUP($C$221,'Tantárgyi adatok'!B:D,2,FALSE),"nincs")</f>
        <v>0</v>
      </c>
      <c r="E221">
        <f>IFERROR(VLOOKUP($C$221,'Tantárgyi adatok'!B:D,3,FALSE),"nincs")</f>
        <v>0</v>
      </c>
      <c r="F221" t="s">
        <v>1315</v>
      </c>
      <c r="H221" t="s">
        <v>705</v>
      </c>
    </row>
    <row r="222" spans="1:8" x14ac:dyDescent="0.25">
      <c r="A222" t="s">
        <v>706</v>
      </c>
      <c r="B222" t="s">
        <v>707</v>
      </c>
      <c r="C222" t="s">
        <v>35</v>
      </c>
      <c r="D222">
        <f>IFERROR(VLOOKUP($C$222,'Tantárgyi adatok'!B:D,2,FALSE),"nincs")</f>
        <v>0</v>
      </c>
      <c r="E222">
        <f>IFERROR(VLOOKUP($C$222,'Tantárgyi adatok'!B:D,3,FALSE),"nincs")</f>
        <v>0</v>
      </c>
      <c r="F222" t="s">
        <v>1342</v>
      </c>
      <c r="H222" t="s">
        <v>708</v>
      </c>
    </row>
    <row r="223" spans="1:8" x14ac:dyDescent="0.25">
      <c r="A223" t="s">
        <v>709</v>
      </c>
      <c r="B223" t="s">
        <v>710</v>
      </c>
      <c r="C223" t="s">
        <v>35</v>
      </c>
      <c r="D223">
        <f>IFERROR(VLOOKUP($C$223,'Tantárgyi adatok'!B:D,2,FALSE),"nincs")</f>
        <v>0</v>
      </c>
      <c r="E223">
        <f>IFERROR(VLOOKUP($C$223,'Tantárgyi adatok'!B:D,3,FALSE),"nincs")</f>
        <v>0</v>
      </c>
      <c r="F223" t="s">
        <v>1321</v>
      </c>
      <c r="H223" t="s">
        <v>711</v>
      </c>
    </row>
    <row r="224" spans="1:8" x14ac:dyDescent="0.25">
      <c r="A224" t="s">
        <v>712</v>
      </c>
      <c r="B224" t="s">
        <v>713</v>
      </c>
      <c r="C224" t="s">
        <v>35</v>
      </c>
      <c r="D224">
        <f>IFERROR(VLOOKUP($C$224,'Tantárgyi adatok'!B:D,2,FALSE),"nincs")</f>
        <v>0</v>
      </c>
      <c r="E224">
        <f>IFERROR(VLOOKUP($C$224,'Tantárgyi adatok'!B:D,3,FALSE),"nincs")</f>
        <v>0</v>
      </c>
      <c r="F224" t="s">
        <v>1349</v>
      </c>
      <c r="H224" t="s">
        <v>714</v>
      </c>
    </row>
    <row r="225" spans="1:8" x14ac:dyDescent="0.25">
      <c r="A225" t="s">
        <v>715</v>
      </c>
      <c r="B225" t="s">
        <v>716</v>
      </c>
      <c r="C225" t="s">
        <v>35</v>
      </c>
      <c r="D225">
        <f>IFERROR(VLOOKUP($C$225,'Tantárgyi adatok'!B:D,2,FALSE),"nincs")</f>
        <v>0</v>
      </c>
      <c r="E225">
        <f>IFERROR(VLOOKUP($C$225,'Tantárgyi adatok'!B:D,3,FALSE),"nincs")</f>
        <v>0</v>
      </c>
      <c r="F225" t="s">
        <v>1344</v>
      </c>
      <c r="H225" t="s">
        <v>717</v>
      </c>
    </row>
    <row r="226" spans="1:8" x14ac:dyDescent="0.25">
      <c r="A226" t="s">
        <v>718</v>
      </c>
      <c r="B226" t="s">
        <v>719</v>
      </c>
      <c r="C226" t="s">
        <v>35</v>
      </c>
      <c r="D226">
        <f>IFERROR(VLOOKUP($C$226,'Tantárgyi adatok'!B:D,2,FALSE),"nincs")</f>
        <v>0</v>
      </c>
      <c r="E226">
        <f>IFERROR(VLOOKUP($C$226,'Tantárgyi adatok'!B:D,3,FALSE),"nincs")</f>
        <v>0</v>
      </c>
      <c r="F226" t="s">
        <v>1326</v>
      </c>
      <c r="H226" t="s">
        <v>720</v>
      </c>
    </row>
    <row r="227" spans="1:8" x14ac:dyDescent="0.25">
      <c r="A227" t="s">
        <v>721</v>
      </c>
      <c r="B227" t="s">
        <v>722</v>
      </c>
      <c r="C227" t="s">
        <v>35</v>
      </c>
      <c r="D227">
        <f>IFERROR(VLOOKUP($C$227,'Tantárgyi adatok'!B:D,2,FALSE),"nincs")</f>
        <v>0</v>
      </c>
      <c r="E227">
        <f>IFERROR(VLOOKUP($C$227,'Tantárgyi adatok'!B:D,3,FALSE),"nincs")</f>
        <v>0</v>
      </c>
      <c r="F227" t="s">
        <v>1349</v>
      </c>
      <c r="H227" t="s">
        <v>723</v>
      </c>
    </row>
    <row r="228" spans="1:8" x14ac:dyDescent="0.25">
      <c r="A228" t="s">
        <v>724</v>
      </c>
      <c r="B228" t="s">
        <v>725</v>
      </c>
      <c r="C228" t="s">
        <v>35</v>
      </c>
      <c r="D228">
        <f>IFERROR(VLOOKUP($C$228,'Tantárgyi adatok'!B:D,2,FALSE),"nincs")</f>
        <v>0</v>
      </c>
      <c r="E228">
        <f>IFERROR(VLOOKUP($C$228,'Tantárgyi adatok'!B:D,3,FALSE),"nincs")</f>
        <v>0</v>
      </c>
      <c r="F228" t="s">
        <v>1338</v>
      </c>
      <c r="H228" t="s">
        <v>726</v>
      </c>
    </row>
    <row r="229" spans="1:8" x14ac:dyDescent="0.25">
      <c r="A229" t="s">
        <v>727</v>
      </c>
      <c r="B229" t="s">
        <v>728</v>
      </c>
      <c r="C229" t="s">
        <v>35</v>
      </c>
      <c r="D229">
        <f>IFERROR(VLOOKUP($C$229,'Tantárgyi adatok'!B:D,2,FALSE),"nincs")</f>
        <v>0</v>
      </c>
      <c r="E229">
        <f>IFERROR(VLOOKUP($C$229,'Tantárgyi adatok'!B:D,3,FALSE),"nincs")</f>
        <v>0</v>
      </c>
      <c r="F229" t="s">
        <v>1338</v>
      </c>
      <c r="H229" t="s">
        <v>729</v>
      </c>
    </row>
    <row r="230" spans="1:8" x14ac:dyDescent="0.25">
      <c r="A230" t="s">
        <v>730</v>
      </c>
      <c r="B230" t="s">
        <v>731</v>
      </c>
      <c r="C230" t="s">
        <v>35</v>
      </c>
      <c r="D230">
        <f>IFERROR(VLOOKUP($C$230,'Tantárgyi adatok'!B:D,2,FALSE),"nincs")</f>
        <v>0</v>
      </c>
      <c r="E230">
        <f>IFERROR(VLOOKUP($C$230,'Tantárgyi adatok'!B:D,3,FALSE),"nincs")</f>
        <v>0</v>
      </c>
      <c r="F230" t="s">
        <v>1338</v>
      </c>
      <c r="H230" t="s">
        <v>732</v>
      </c>
    </row>
    <row r="231" spans="1:8" x14ac:dyDescent="0.25">
      <c r="A231" t="s">
        <v>733</v>
      </c>
      <c r="B231" t="s">
        <v>734</v>
      </c>
      <c r="C231" t="s">
        <v>35</v>
      </c>
      <c r="D231">
        <f>IFERROR(VLOOKUP($C$231,'Tantárgyi adatok'!B:D,2,FALSE),"nincs")</f>
        <v>0</v>
      </c>
      <c r="E231">
        <f>IFERROR(VLOOKUP($C$231,'Tantárgyi adatok'!B:D,3,FALSE),"nincs")</f>
        <v>0</v>
      </c>
      <c r="F231" t="s">
        <v>1317</v>
      </c>
      <c r="H231" t="s">
        <v>735</v>
      </c>
    </row>
    <row r="232" spans="1:8" x14ac:dyDescent="0.25">
      <c r="A232" t="s">
        <v>736</v>
      </c>
      <c r="B232" t="s">
        <v>737</v>
      </c>
      <c r="C232" t="s">
        <v>35</v>
      </c>
      <c r="D232">
        <f>IFERROR(VLOOKUP($C$232,'Tantárgyi adatok'!B:D,2,FALSE),"nincs")</f>
        <v>0</v>
      </c>
      <c r="E232">
        <f>IFERROR(VLOOKUP($C$232,'Tantárgyi adatok'!B:D,3,FALSE),"nincs")</f>
        <v>0</v>
      </c>
      <c r="F232" t="s">
        <v>1317</v>
      </c>
      <c r="H232" t="s">
        <v>738</v>
      </c>
    </row>
    <row r="233" spans="1:8" x14ac:dyDescent="0.25">
      <c r="A233" t="s">
        <v>739</v>
      </c>
      <c r="B233" t="s">
        <v>740</v>
      </c>
      <c r="C233" t="s">
        <v>35</v>
      </c>
      <c r="D233">
        <f>IFERROR(VLOOKUP($C$233,'Tantárgyi adatok'!B:D,2,FALSE),"nincs")</f>
        <v>0</v>
      </c>
      <c r="E233">
        <f>IFERROR(VLOOKUP($C$233,'Tantárgyi adatok'!B:D,3,FALSE),"nincs")</f>
        <v>0</v>
      </c>
      <c r="F233" t="s">
        <v>1320</v>
      </c>
      <c r="H233" t="s">
        <v>741</v>
      </c>
    </row>
    <row r="234" spans="1:8" x14ac:dyDescent="0.25">
      <c r="A234" t="s">
        <v>742</v>
      </c>
      <c r="B234" t="s">
        <v>743</v>
      </c>
      <c r="C234" t="s">
        <v>35</v>
      </c>
      <c r="D234">
        <f>IFERROR(VLOOKUP($C$234,'Tantárgyi adatok'!B:D,2,FALSE),"nincs")</f>
        <v>0</v>
      </c>
      <c r="E234">
        <f>IFERROR(VLOOKUP($C$234,'Tantárgyi adatok'!B:D,3,FALSE),"nincs")</f>
        <v>0</v>
      </c>
      <c r="F234" t="s">
        <v>1342</v>
      </c>
      <c r="H234" t="s">
        <v>744</v>
      </c>
    </row>
    <row r="235" spans="1:8" x14ac:dyDescent="0.25">
      <c r="A235" t="s">
        <v>745</v>
      </c>
      <c r="B235" t="s">
        <v>746</v>
      </c>
      <c r="C235" t="s">
        <v>37</v>
      </c>
      <c r="D235">
        <f>IFERROR(VLOOKUP($C$235,'Tantárgyi adatok'!B:D,2,FALSE),"nincs")</f>
        <v>0</v>
      </c>
      <c r="E235">
        <f>IFERROR(VLOOKUP($C$235,'Tantárgyi adatok'!B:D,3,FALSE),"nincs")</f>
        <v>0</v>
      </c>
      <c r="F235" t="s">
        <v>1330</v>
      </c>
      <c r="H235" t="s">
        <v>747</v>
      </c>
    </row>
    <row r="236" spans="1:8" x14ac:dyDescent="0.25">
      <c r="A236" t="s">
        <v>748</v>
      </c>
      <c r="B236" t="s">
        <v>749</v>
      </c>
      <c r="C236" t="s">
        <v>37</v>
      </c>
      <c r="D236">
        <f>IFERROR(VLOOKUP($C$236,'Tantárgyi adatok'!B:D,2,FALSE),"nincs")</f>
        <v>0</v>
      </c>
      <c r="E236">
        <f>IFERROR(VLOOKUP($C$236,'Tantárgyi adatok'!B:D,3,FALSE),"nincs")</f>
        <v>0</v>
      </c>
      <c r="F236" t="s">
        <v>1330</v>
      </c>
      <c r="H236" t="s">
        <v>750</v>
      </c>
    </row>
    <row r="237" spans="1:8" x14ac:dyDescent="0.25">
      <c r="A237" t="s">
        <v>751</v>
      </c>
      <c r="B237" t="s">
        <v>752</v>
      </c>
      <c r="C237" t="s">
        <v>37</v>
      </c>
      <c r="D237">
        <f>IFERROR(VLOOKUP($C$237,'Tantárgyi adatok'!B:D,2,FALSE),"nincs")</f>
        <v>0</v>
      </c>
      <c r="E237">
        <f>IFERROR(VLOOKUP($C$237,'Tantárgyi adatok'!B:D,3,FALSE),"nincs")</f>
        <v>0</v>
      </c>
      <c r="F237" t="s">
        <v>1330</v>
      </c>
      <c r="H237" t="s">
        <v>753</v>
      </c>
    </row>
    <row r="238" spans="1:8" x14ac:dyDescent="0.25">
      <c r="A238" t="s">
        <v>754</v>
      </c>
      <c r="B238" t="s">
        <v>755</v>
      </c>
      <c r="C238" t="s">
        <v>37</v>
      </c>
      <c r="D238">
        <f>IFERROR(VLOOKUP($C$238,'Tantárgyi adatok'!B:D,2,FALSE),"nincs")</f>
        <v>0</v>
      </c>
      <c r="E238">
        <f>IFERROR(VLOOKUP($C$238,'Tantárgyi adatok'!B:D,3,FALSE),"nincs")</f>
        <v>0</v>
      </c>
      <c r="F238" t="s">
        <v>1333</v>
      </c>
      <c r="H238" t="s">
        <v>756</v>
      </c>
    </row>
    <row r="239" spans="1:8" x14ac:dyDescent="0.25">
      <c r="A239" t="s">
        <v>757</v>
      </c>
      <c r="B239" t="s">
        <v>758</v>
      </c>
      <c r="C239" t="s">
        <v>37</v>
      </c>
      <c r="D239">
        <f>IFERROR(VLOOKUP($C$239,'Tantárgyi adatok'!B:D,2,FALSE),"nincs")</f>
        <v>0</v>
      </c>
      <c r="E239">
        <f>IFERROR(VLOOKUP($C$239,'Tantárgyi adatok'!B:D,3,FALSE),"nincs")</f>
        <v>0</v>
      </c>
      <c r="F239" t="s">
        <v>1326</v>
      </c>
      <c r="H239" t="s">
        <v>759</v>
      </c>
    </row>
    <row r="240" spans="1:8" x14ac:dyDescent="0.25">
      <c r="A240" t="s">
        <v>760</v>
      </c>
      <c r="B240" t="s">
        <v>761</v>
      </c>
      <c r="C240" t="s">
        <v>37</v>
      </c>
      <c r="D240">
        <f>IFERROR(VLOOKUP($C$240,'Tantárgyi adatok'!B:D,2,FALSE),"nincs")</f>
        <v>0</v>
      </c>
      <c r="E240">
        <f>IFERROR(VLOOKUP($C$240,'Tantárgyi adatok'!B:D,3,FALSE),"nincs")</f>
        <v>0</v>
      </c>
      <c r="F240" t="s">
        <v>1364</v>
      </c>
      <c r="H240" t="s">
        <v>762</v>
      </c>
    </row>
    <row r="241" spans="1:8" x14ac:dyDescent="0.25">
      <c r="A241" t="s">
        <v>763</v>
      </c>
      <c r="B241" t="s">
        <v>764</v>
      </c>
      <c r="C241" t="s">
        <v>37</v>
      </c>
      <c r="D241">
        <f>IFERROR(VLOOKUP($C$241,'Tantárgyi adatok'!B:D,2,FALSE),"nincs")</f>
        <v>0</v>
      </c>
      <c r="E241">
        <f>IFERROR(VLOOKUP($C$241,'Tantárgyi adatok'!B:D,3,FALSE),"nincs")</f>
        <v>0</v>
      </c>
      <c r="F241" t="s">
        <v>1329</v>
      </c>
      <c r="H241" t="s">
        <v>765</v>
      </c>
    </row>
    <row r="242" spans="1:8" x14ac:dyDescent="0.25">
      <c r="A242" t="s">
        <v>766</v>
      </c>
      <c r="B242" t="s">
        <v>767</v>
      </c>
      <c r="C242" t="s">
        <v>37</v>
      </c>
      <c r="D242">
        <f>IFERROR(VLOOKUP($C$242,'Tantárgyi adatok'!B:D,2,FALSE),"nincs")</f>
        <v>0</v>
      </c>
      <c r="E242">
        <f>IFERROR(VLOOKUP($C$242,'Tantárgyi adatok'!B:D,3,FALSE),"nincs")</f>
        <v>0</v>
      </c>
      <c r="F242" t="s">
        <v>1367</v>
      </c>
      <c r="H242" t="s">
        <v>768</v>
      </c>
    </row>
    <row r="243" spans="1:8" x14ac:dyDescent="0.25">
      <c r="A243" t="s">
        <v>769</v>
      </c>
      <c r="B243" t="s">
        <v>770</v>
      </c>
      <c r="C243" t="s">
        <v>37</v>
      </c>
      <c r="D243">
        <f>IFERROR(VLOOKUP($C$243,'Tantárgyi adatok'!B:D,2,FALSE),"nincs")</f>
        <v>0</v>
      </c>
      <c r="E243">
        <f>IFERROR(VLOOKUP($C$243,'Tantárgyi adatok'!B:D,3,FALSE),"nincs")</f>
        <v>0</v>
      </c>
      <c r="F243" t="s">
        <v>1328</v>
      </c>
      <c r="H243" t="s">
        <v>771</v>
      </c>
    </row>
    <row r="244" spans="1:8" x14ac:dyDescent="0.25">
      <c r="A244" t="s">
        <v>772</v>
      </c>
      <c r="B244" t="s">
        <v>773</v>
      </c>
      <c r="C244" t="s">
        <v>37</v>
      </c>
      <c r="D244">
        <f>IFERROR(VLOOKUP($C$244,'Tantárgyi adatok'!B:D,2,FALSE),"nincs")</f>
        <v>0</v>
      </c>
      <c r="E244">
        <f>IFERROR(VLOOKUP($C$244,'Tantárgyi adatok'!B:D,3,FALSE),"nincs")</f>
        <v>0</v>
      </c>
      <c r="F244" t="s">
        <v>1329</v>
      </c>
      <c r="H244" t="s">
        <v>774</v>
      </c>
    </row>
    <row r="245" spans="1:8" x14ac:dyDescent="0.25">
      <c r="A245" t="s">
        <v>772</v>
      </c>
      <c r="B245" t="s">
        <v>773</v>
      </c>
      <c r="C245" t="s">
        <v>37</v>
      </c>
      <c r="D245">
        <f>IFERROR(VLOOKUP($C$245,'Tantárgyi adatok'!B:D,2,FALSE),"nincs")</f>
        <v>0</v>
      </c>
      <c r="E245">
        <f>IFERROR(VLOOKUP($C$245,'Tantárgyi adatok'!B:D,3,FALSE),"nincs")</f>
        <v>0</v>
      </c>
      <c r="F245" t="s">
        <v>1348</v>
      </c>
      <c r="H245" t="s">
        <v>774</v>
      </c>
    </row>
    <row r="246" spans="1:8" x14ac:dyDescent="0.25">
      <c r="A246" t="s">
        <v>772</v>
      </c>
      <c r="B246" t="s">
        <v>773</v>
      </c>
      <c r="C246" t="s">
        <v>37</v>
      </c>
      <c r="D246">
        <f>IFERROR(VLOOKUP($C$246,'Tantárgyi adatok'!B:D,2,FALSE),"nincs")</f>
        <v>0</v>
      </c>
      <c r="E246">
        <f>IFERROR(VLOOKUP($C$246,'Tantárgyi adatok'!B:D,3,FALSE),"nincs")</f>
        <v>0</v>
      </c>
      <c r="F246" t="s">
        <v>1368</v>
      </c>
      <c r="H246" t="s">
        <v>774</v>
      </c>
    </row>
    <row r="247" spans="1:8" x14ac:dyDescent="0.25">
      <c r="A247" t="s">
        <v>772</v>
      </c>
      <c r="B247" t="s">
        <v>773</v>
      </c>
      <c r="C247" t="s">
        <v>37</v>
      </c>
      <c r="D247">
        <f>IFERROR(VLOOKUP($C$247,'Tantárgyi adatok'!B:D,2,FALSE),"nincs")</f>
        <v>0</v>
      </c>
      <c r="E247">
        <f>IFERROR(VLOOKUP($C$247,'Tantárgyi adatok'!B:D,3,FALSE),"nincs")</f>
        <v>0</v>
      </c>
      <c r="F247" t="s">
        <v>1335</v>
      </c>
      <c r="H247" t="s">
        <v>774</v>
      </c>
    </row>
    <row r="248" spans="1:8" x14ac:dyDescent="0.25">
      <c r="A248" t="s">
        <v>772</v>
      </c>
      <c r="B248" t="s">
        <v>773</v>
      </c>
      <c r="C248" t="s">
        <v>37</v>
      </c>
      <c r="D248">
        <f>IFERROR(VLOOKUP($C$248,'Tantárgyi adatok'!B:D,2,FALSE),"nincs")</f>
        <v>0</v>
      </c>
      <c r="E248">
        <f>IFERROR(VLOOKUP($C$248,'Tantárgyi adatok'!B:D,3,FALSE),"nincs")</f>
        <v>0</v>
      </c>
      <c r="F248" t="s">
        <v>1352</v>
      </c>
      <c r="H248" t="s">
        <v>774</v>
      </c>
    </row>
    <row r="249" spans="1:8" x14ac:dyDescent="0.25">
      <c r="A249" t="s">
        <v>772</v>
      </c>
      <c r="B249" t="s">
        <v>773</v>
      </c>
      <c r="C249" t="s">
        <v>37</v>
      </c>
      <c r="D249">
        <f>IFERROR(VLOOKUP($C$249,'Tantárgyi adatok'!B:D,2,FALSE),"nincs")</f>
        <v>0</v>
      </c>
      <c r="E249">
        <f>IFERROR(VLOOKUP($C$249,'Tantárgyi adatok'!B:D,3,FALSE),"nincs")</f>
        <v>0</v>
      </c>
      <c r="F249" t="s">
        <v>1353</v>
      </c>
      <c r="H249" t="s">
        <v>774</v>
      </c>
    </row>
    <row r="250" spans="1:8" x14ac:dyDescent="0.25">
      <c r="A250" t="s">
        <v>772</v>
      </c>
      <c r="B250" t="s">
        <v>773</v>
      </c>
      <c r="C250" t="s">
        <v>37</v>
      </c>
      <c r="D250">
        <f>IFERROR(VLOOKUP($C$250,'Tantárgyi adatok'!B:D,2,FALSE),"nincs")</f>
        <v>0</v>
      </c>
      <c r="E250">
        <f>IFERROR(VLOOKUP($C$250,'Tantárgyi adatok'!B:D,3,FALSE),"nincs")</f>
        <v>0</v>
      </c>
      <c r="F250" t="s">
        <v>1356</v>
      </c>
      <c r="H250" t="s">
        <v>774</v>
      </c>
    </row>
    <row r="251" spans="1:8" x14ac:dyDescent="0.25">
      <c r="A251" t="s">
        <v>772</v>
      </c>
      <c r="B251" t="s">
        <v>773</v>
      </c>
      <c r="C251" t="s">
        <v>37</v>
      </c>
      <c r="D251">
        <f>IFERROR(VLOOKUP($C$251,'Tantárgyi adatok'!B:D,2,FALSE),"nincs")</f>
        <v>0</v>
      </c>
      <c r="E251">
        <f>IFERROR(VLOOKUP($C$251,'Tantárgyi adatok'!B:D,3,FALSE),"nincs")</f>
        <v>0</v>
      </c>
      <c r="F251" t="s">
        <v>1369</v>
      </c>
      <c r="H251" t="s">
        <v>774</v>
      </c>
    </row>
    <row r="252" spans="1:8" x14ac:dyDescent="0.25">
      <c r="A252" t="s">
        <v>775</v>
      </c>
      <c r="B252" t="s">
        <v>776</v>
      </c>
      <c r="C252" t="s">
        <v>37</v>
      </c>
      <c r="D252">
        <f>IFERROR(VLOOKUP($C$252,'Tantárgyi adatok'!B:D,2,FALSE),"nincs")</f>
        <v>0</v>
      </c>
      <c r="E252">
        <f>IFERROR(VLOOKUP($C$252,'Tantárgyi adatok'!B:D,3,FALSE),"nincs")</f>
        <v>0</v>
      </c>
      <c r="F252" t="s">
        <v>1329</v>
      </c>
      <c r="H252" t="s">
        <v>777</v>
      </c>
    </row>
    <row r="253" spans="1:8" x14ac:dyDescent="0.25">
      <c r="A253" t="s">
        <v>775</v>
      </c>
      <c r="B253" t="s">
        <v>776</v>
      </c>
      <c r="C253" t="s">
        <v>37</v>
      </c>
      <c r="D253">
        <f>IFERROR(VLOOKUP($C$253,'Tantárgyi adatok'!B:D,2,FALSE),"nincs")</f>
        <v>0</v>
      </c>
      <c r="E253">
        <f>IFERROR(VLOOKUP($C$253,'Tantárgyi adatok'!B:D,3,FALSE),"nincs")</f>
        <v>0</v>
      </c>
      <c r="F253" t="s">
        <v>1348</v>
      </c>
      <c r="H253" t="s">
        <v>777</v>
      </c>
    </row>
    <row r="254" spans="1:8" x14ac:dyDescent="0.25">
      <c r="A254" t="s">
        <v>775</v>
      </c>
      <c r="B254" t="s">
        <v>776</v>
      </c>
      <c r="C254" t="s">
        <v>37</v>
      </c>
      <c r="D254">
        <f>IFERROR(VLOOKUP($C$254,'Tantárgyi adatok'!B:D,2,FALSE),"nincs")</f>
        <v>0</v>
      </c>
      <c r="E254">
        <f>IFERROR(VLOOKUP($C$254,'Tantárgyi adatok'!B:D,3,FALSE),"nincs")</f>
        <v>0</v>
      </c>
      <c r="F254" t="s">
        <v>1368</v>
      </c>
      <c r="H254" t="s">
        <v>777</v>
      </c>
    </row>
    <row r="255" spans="1:8" x14ac:dyDescent="0.25">
      <c r="A255" t="s">
        <v>775</v>
      </c>
      <c r="B255" t="s">
        <v>776</v>
      </c>
      <c r="C255" t="s">
        <v>37</v>
      </c>
      <c r="D255">
        <f>IFERROR(VLOOKUP($C$255,'Tantárgyi adatok'!B:D,2,FALSE),"nincs")</f>
        <v>0</v>
      </c>
      <c r="E255">
        <f>IFERROR(VLOOKUP($C$255,'Tantárgyi adatok'!B:D,3,FALSE),"nincs")</f>
        <v>0</v>
      </c>
      <c r="F255" t="s">
        <v>1335</v>
      </c>
      <c r="H255" t="s">
        <v>777</v>
      </c>
    </row>
    <row r="256" spans="1:8" x14ac:dyDescent="0.25">
      <c r="A256" t="s">
        <v>775</v>
      </c>
      <c r="B256" t="s">
        <v>776</v>
      </c>
      <c r="C256" t="s">
        <v>37</v>
      </c>
      <c r="D256">
        <f>IFERROR(VLOOKUP($C$256,'Tantárgyi adatok'!B:D,2,FALSE),"nincs")</f>
        <v>0</v>
      </c>
      <c r="E256">
        <f>IFERROR(VLOOKUP($C$256,'Tantárgyi adatok'!B:D,3,FALSE),"nincs")</f>
        <v>0</v>
      </c>
      <c r="F256" t="s">
        <v>1352</v>
      </c>
      <c r="H256" t="s">
        <v>777</v>
      </c>
    </row>
    <row r="257" spans="1:8" x14ac:dyDescent="0.25">
      <c r="A257" t="s">
        <v>775</v>
      </c>
      <c r="B257" t="s">
        <v>776</v>
      </c>
      <c r="C257" t="s">
        <v>37</v>
      </c>
      <c r="D257">
        <f>IFERROR(VLOOKUP($C$257,'Tantárgyi adatok'!B:D,2,FALSE),"nincs")</f>
        <v>0</v>
      </c>
      <c r="E257">
        <f>IFERROR(VLOOKUP($C$257,'Tantárgyi adatok'!B:D,3,FALSE),"nincs")</f>
        <v>0</v>
      </c>
      <c r="F257" t="s">
        <v>1353</v>
      </c>
      <c r="H257" t="s">
        <v>777</v>
      </c>
    </row>
    <row r="258" spans="1:8" x14ac:dyDescent="0.25">
      <c r="A258" t="s">
        <v>775</v>
      </c>
      <c r="B258" t="s">
        <v>776</v>
      </c>
      <c r="C258" t="s">
        <v>37</v>
      </c>
      <c r="D258">
        <f>IFERROR(VLOOKUP($C$258,'Tantárgyi adatok'!B:D,2,FALSE),"nincs")</f>
        <v>0</v>
      </c>
      <c r="E258">
        <f>IFERROR(VLOOKUP($C$258,'Tantárgyi adatok'!B:D,3,FALSE),"nincs")</f>
        <v>0</v>
      </c>
      <c r="F258" t="s">
        <v>1356</v>
      </c>
      <c r="H258" t="s">
        <v>777</v>
      </c>
    </row>
    <row r="259" spans="1:8" x14ac:dyDescent="0.25">
      <c r="A259" t="s">
        <v>775</v>
      </c>
      <c r="B259" t="s">
        <v>776</v>
      </c>
      <c r="C259" t="s">
        <v>37</v>
      </c>
      <c r="D259">
        <f>IFERROR(VLOOKUP($C$259,'Tantárgyi adatok'!B:D,2,FALSE),"nincs")</f>
        <v>0</v>
      </c>
      <c r="E259">
        <f>IFERROR(VLOOKUP($C$259,'Tantárgyi adatok'!B:D,3,FALSE),"nincs")</f>
        <v>0</v>
      </c>
      <c r="F259" t="s">
        <v>1369</v>
      </c>
      <c r="H259" t="s">
        <v>777</v>
      </c>
    </row>
    <row r="260" spans="1:8" x14ac:dyDescent="0.25">
      <c r="A260" t="s">
        <v>778</v>
      </c>
      <c r="B260" t="s">
        <v>779</v>
      </c>
      <c r="C260" t="s">
        <v>37</v>
      </c>
      <c r="D260">
        <f>IFERROR(VLOOKUP($C$260,'Tantárgyi adatok'!B:D,2,FALSE),"nincs")</f>
        <v>0</v>
      </c>
      <c r="E260">
        <f>IFERROR(VLOOKUP($C$260,'Tantárgyi adatok'!B:D,3,FALSE),"nincs")</f>
        <v>0</v>
      </c>
      <c r="F260" t="s">
        <v>1329</v>
      </c>
      <c r="H260" t="s">
        <v>780</v>
      </c>
    </row>
    <row r="261" spans="1:8" x14ac:dyDescent="0.25">
      <c r="A261" t="s">
        <v>778</v>
      </c>
      <c r="B261" t="s">
        <v>779</v>
      </c>
      <c r="C261" t="s">
        <v>37</v>
      </c>
      <c r="D261">
        <f>IFERROR(VLOOKUP($C$261,'Tantárgyi adatok'!B:D,2,FALSE),"nincs")</f>
        <v>0</v>
      </c>
      <c r="E261">
        <f>IFERROR(VLOOKUP($C$261,'Tantárgyi adatok'!B:D,3,FALSE),"nincs")</f>
        <v>0</v>
      </c>
      <c r="F261" t="s">
        <v>1348</v>
      </c>
      <c r="H261" t="s">
        <v>780</v>
      </c>
    </row>
    <row r="262" spans="1:8" x14ac:dyDescent="0.25">
      <c r="A262" t="s">
        <v>778</v>
      </c>
      <c r="B262" t="s">
        <v>779</v>
      </c>
      <c r="C262" t="s">
        <v>37</v>
      </c>
      <c r="D262">
        <f>IFERROR(VLOOKUP($C$262,'Tantárgyi adatok'!B:D,2,FALSE),"nincs")</f>
        <v>0</v>
      </c>
      <c r="E262">
        <f>IFERROR(VLOOKUP($C$262,'Tantárgyi adatok'!B:D,3,FALSE),"nincs")</f>
        <v>0</v>
      </c>
      <c r="F262" t="s">
        <v>1368</v>
      </c>
      <c r="H262" t="s">
        <v>780</v>
      </c>
    </row>
    <row r="263" spans="1:8" x14ac:dyDescent="0.25">
      <c r="A263" t="s">
        <v>778</v>
      </c>
      <c r="B263" t="s">
        <v>779</v>
      </c>
      <c r="C263" t="s">
        <v>37</v>
      </c>
      <c r="D263">
        <f>IFERROR(VLOOKUP($C$263,'Tantárgyi adatok'!B:D,2,FALSE),"nincs")</f>
        <v>0</v>
      </c>
      <c r="E263">
        <f>IFERROR(VLOOKUP($C$263,'Tantárgyi adatok'!B:D,3,FALSE),"nincs")</f>
        <v>0</v>
      </c>
      <c r="F263" t="s">
        <v>1335</v>
      </c>
      <c r="H263" t="s">
        <v>780</v>
      </c>
    </row>
    <row r="264" spans="1:8" x14ac:dyDescent="0.25">
      <c r="A264" t="s">
        <v>778</v>
      </c>
      <c r="B264" t="s">
        <v>779</v>
      </c>
      <c r="C264" t="s">
        <v>37</v>
      </c>
      <c r="D264">
        <f>IFERROR(VLOOKUP($C$264,'Tantárgyi adatok'!B:D,2,FALSE),"nincs")</f>
        <v>0</v>
      </c>
      <c r="E264">
        <f>IFERROR(VLOOKUP($C$264,'Tantárgyi adatok'!B:D,3,FALSE),"nincs")</f>
        <v>0</v>
      </c>
      <c r="F264" t="s">
        <v>1352</v>
      </c>
      <c r="H264" t="s">
        <v>780</v>
      </c>
    </row>
    <row r="265" spans="1:8" x14ac:dyDescent="0.25">
      <c r="A265" t="s">
        <v>778</v>
      </c>
      <c r="B265" t="s">
        <v>779</v>
      </c>
      <c r="C265" t="s">
        <v>37</v>
      </c>
      <c r="D265">
        <f>IFERROR(VLOOKUP($C$265,'Tantárgyi adatok'!B:D,2,FALSE),"nincs")</f>
        <v>0</v>
      </c>
      <c r="E265">
        <f>IFERROR(VLOOKUP($C$265,'Tantárgyi adatok'!B:D,3,FALSE),"nincs")</f>
        <v>0</v>
      </c>
      <c r="F265" t="s">
        <v>1353</v>
      </c>
      <c r="H265" t="s">
        <v>780</v>
      </c>
    </row>
    <row r="266" spans="1:8" x14ac:dyDescent="0.25">
      <c r="A266" t="s">
        <v>778</v>
      </c>
      <c r="B266" t="s">
        <v>779</v>
      </c>
      <c r="C266" t="s">
        <v>37</v>
      </c>
      <c r="D266">
        <f>IFERROR(VLOOKUP($C$266,'Tantárgyi adatok'!B:D,2,FALSE),"nincs")</f>
        <v>0</v>
      </c>
      <c r="E266">
        <f>IFERROR(VLOOKUP($C$266,'Tantárgyi adatok'!B:D,3,FALSE),"nincs")</f>
        <v>0</v>
      </c>
      <c r="F266" t="s">
        <v>1356</v>
      </c>
      <c r="H266" t="s">
        <v>780</v>
      </c>
    </row>
    <row r="267" spans="1:8" x14ac:dyDescent="0.25">
      <c r="A267" t="s">
        <v>778</v>
      </c>
      <c r="B267" t="s">
        <v>779</v>
      </c>
      <c r="C267" t="s">
        <v>37</v>
      </c>
      <c r="D267">
        <f>IFERROR(VLOOKUP($C$267,'Tantárgyi adatok'!B:D,2,FALSE),"nincs")</f>
        <v>0</v>
      </c>
      <c r="E267">
        <f>IFERROR(VLOOKUP($C$267,'Tantárgyi adatok'!B:D,3,FALSE),"nincs")</f>
        <v>0</v>
      </c>
      <c r="F267" t="s">
        <v>1369</v>
      </c>
      <c r="H267" t="s">
        <v>780</v>
      </c>
    </row>
    <row r="268" spans="1:8" x14ac:dyDescent="0.25">
      <c r="A268" t="s">
        <v>781</v>
      </c>
      <c r="B268" t="s">
        <v>782</v>
      </c>
      <c r="C268" t="s">
        <v>37</v>
      </c>
      <c r="D268">
        <f>IFERROR(VLOOKUP($C$268,'Tantárgyi adatok'!B:D,2,FALSE),"nincs")</f>
        <v>0</v>
      </c>
      <c r="E268">
        <f>IFERROR(VLOOKUP($C$268,'Tantárgyi adatok'!B:D,3,FALSE),"nincs")</f>
        <v>0</v>
      </c>
      <c r="F268" t="s">
        <v>1329</v>
      </c>
      <c r="H268" t="s">
        <v>783</v>
      </c>
    </row>
    <row r="269" spans="1:8" x14ac:dyDescent="0.25">
      <c r="A269" t="s">
        <v>781</v>
      </c>
      <c r="B269" t="s">
        <v>782</v>
      </c>
      <c r="C269" t="s">
        <v>37</v>
      </c>
      <c r="D269">
        <f>IFERROR(VLOOKUP($C$269,'Tantárgyi adatok'!B:D,2,FALSE),"nincs")</f>
        <v>0</v>
      </c>
      <c r="E269">
        <f>IFERROR(VLOOKUP($C$269,'Tantárgyi adatok'!B:D,3,FALSE),"nincs")</f>
        <v>0</v>
      </c>
      <c r="F269" t="s">
        <v>1348</v>
      </c>
      <c r="H269" t="s">
        <v>783</v>
      </c>
    </row>
    <row r="270" spans="1:8" x14ac:dyDescent="0.25">
      <c r="A270" t="s">
        <v>781</v>
      </c>
      <c r="B270" t="s">
        <v>782</v>
      </c>
      <c r="C270" t="s">
        <v>37</v>
      </c>
      <c r="D270">
        <f>IFERROR(VLOOKUP($C$270,'Tantárgyi adatok'!B:D,2,FALSE),"nincs")</f>
        <v>0</v>
      </c>
      <c r="E270">
        <f>IFERROR(VLOOKUP($C$270,'Tantárgyi adatok'!B:D,3,FALSE),"nincs")</f>
        <v>0</v>
      </c>
      <c r="F270" t="s">
        <v>1368</v>
      </c>
      <c r="H270" t="s">
        <v>783</v>
      </c>
    </row>
    <row r="271" spans="1:8" x14ac:dyDescent="0.25">
      <c r="A271" t="s">
        <v>781</v>
      </c>
      <c r="B271" t="s">
        <v>782</v>
      </c>
      <c r="C271" t="s">
        <v>37</v>
      </c>
      <c r="D271">
        <f>IFERROR(VLOOKUP($C$271,'Tantárgyi adatok'!B:D,2,FALSE),"nincs")</f>
        <v>0</v>
      </c>
      <c r="E271">
        <f>IFERROR(VLOOKUP($C$271,'Tantárgyi adatok'!B:D,3,FALSE),"nincs")</f>
        <v>0</v>
      </c>
      <c r="F271" t="s">
        <v>1335</v>
      </c>
      <c r="H271" t="s">
        <v>783</v>
      </c>
    </row>
    <row r="272" spans="1:8" x14ac:dyDescent="0.25">
      <c r="A272" t="s">
        <v>781</v>
      </c>
      <c r="B272" t="s">
        <v>782</v>
      </c>
      <c r="C272" t="s">
        <v>37</v>
      </c>
      <c r="D272">
        <f>IFERROR(VLOOKUP($C$272,'Tantárgyi adatok'!B:D,2,FALSE),"nincs")</f>
        <v>0</v>
      </c>
      <c r="E272">
        <f>IFERROR(VLOOKUP($C$272,'Tantárgyi adatok'!B:D,3,FALSE),"nincs")</f>
        <v>0</v>
      </c>
      <c r="F272" t="s">
        <v>1352</v>
      </c>
      <c r="H272" t="s">
        <v>783</v>
      </c>
    </row>
    <row r="273" spans="1:8" x14ac:dyDescent="0.25">
      <c r="A273" t="s">
        <v>781</v>
      </c>
      <c r="B273" t="s">
        <v>782</v>
      </c>
      <c r="C273" t="s">
        <v>37</v>
      </c>
      <c r="D273">
        <f>IFERROR(VLOOKUP($C$273,'Tantárgyi adatok'!B:D,2,FALSE),"nincs")</f>
        <v>0</v>
      </c>
      <c r="E273">
        <f>IFERROR(VLOOKUP($C$273,'Tantárgyi adatok'!B:D,3,FALSE),"nincs")</f>
        <v>0</v>
      </c>
      <c r="F273" t="s">
        <v>1353</v>
      </c>
      <c r="H273" t="s">
        <v>783</v>
      </c>
    </row>
    <row r="274" spans="1:8" x14ac:dyDescent="0.25">
      <c r="A274" t="s">
        <v>781</v>
      </c>
      <c r="B274" t="s">
        <v>782</v>
      </c>
      <c r="C274" t="s">
        <v>37</v>
      </c>
      <c r="D274">
        <f>IFERROR(VLOOKUP($C$274,'Tantárgyi adatok'!B:D,2,FALSE),"nincs")</f>
        <v>0</v>
      </c>
      <c r="E274">
        <f>IFERROR(VLOOKUP($C$274,'Tantárgyi adatok'!B:D,3,FALSE),"nincs")</f>
        <v>0</v>
      </c>
      <c r="F274" t="s">
        <v>1356</v>
      </c>
      <c r="H274" t="s">
        <v>783</v>
      </c>
    </row>
    <row r="275" spans="1:8" x14ac:dyDescent="0.25">
      <c r="A275" t="s">
        <v>781</v>
      </c>
      <c r="B275" t="s">
        <v>782</v>
      </c>
      <c r="C275" t="s">
        <v>37</v>
      </c>
      <c r="D275">
        <f>IFERROR(VLOOKUP($C$275,'Tantárgyi adatok'!B:D,2,FALSE),"nincs")</f>
        <v>0</v>
      </c>
      <c r="E275">
        <f>IFERROR(VLOOKUP($C$275,'Tantárgyi adatok'!B:D,3,FALSE),"nincs")</f>
        <v>0</v>
      </c>
      <c r="F275" t="s">
        <v>1369</v>
      </c>
      <c r="H275" t="s">
        <v>783</v>
      </c>
    </row>
    <row r="276" spans="1:8" x14ac:dyDescent="0.25">
      <c r="A276" t="s">
        <v>784</v>
      </c>
      <c r="B276" t="s">
        <v>785</v>
      </c>
      <c r="C276" t="s">
        <v>37</v>
      </c>
      <c r="D276">
        <f>IFERROR(VLOOKUP($C$276,'Tantárgyi adatok'!B:D,2,FALSE),"nincs")</f>
        <v>0</v>
      </c>
      <c r="E276">
        <f>IFERROR(VLOOKUP($C$276,'Tantárgyi adatok'!B:D,3,FALSE),"nincs")</f>
        <v>0</v>
      </c>
      <c r="F276" t="s">
        <v>1369</v>
      </c>
      <c r="H276" t="s">
        <v>786</v>
      </c>
    </row>
    <row r="277" spans="1:8" x14ac:dyDescent="0.25">
      <c r="A277" t="s">
        <v>787</v>
      </c>
      <c r="B277" t="s">
        <v>788</v>
      </c>
      <c r="C277" t="s">
        <v>37</v>
      </c>
      <c r="D277">
        <f>IFERROR(VLOOKUP($C$277,'Tantárgyi adatok'!B:D,2,FALSE),"nincs")</f>
        <v>0</v>
      </c>
      <c r="E277">
        <f>IFERROR(VLOOKUP($C$277,'Tantárgyi adatok'!B:D,3,FALSE),"nincs")</f>
        <v>0</v>
      </c>
      <c r="F277" t="s">
        <v>1357</v>
      </c>
      <c r="H277" t="s">
        <v>789</v>
      </c>
    </row>
    <row r="278" spans="1:8" x14ac:dyDescent="0.25">
      <c r="A278" t="s">
        <v>790</v>
      </c>
      <c r="B278" t="s">
        <v>791</v>
      </c>
      <c r="C278" t="s">
        <v>39</v>
      </c>
      <c r="D278">
        <f>IFERROR(VLOOKUP($C$278,'Tantárgyi adatok'!B:D,2,FALSE),"nincs")</f>
        <v>0</v>
      </c>
      <c r="E278">
        <f>IFERROR(VLOOKUP($C$278,'Tantárgyi adatok'!B:D,3,FALSE),"nincs")</f>
        <v>0</v>
      </c>
      <c r="F278" t="s">
        <v>1336</v>
      </c>
      <c r="H278" t="s">
        <v>792</v>
      </c>
    </row>
    <row r="279" spans="1:8" x14ac:dyDescent="0.25">
      <c r="A279" t="s">
        <v>793</v>
      </c>
      <c r="B279" t="s">
        <v>794</v>
      </c>
      <c r="C279" t="s">
        <v>39</v>
      </c>
      <c r="D279">
        <f>IFERROR(VLOOKUP($C$279,'Tantárgyi adatok'!B:D,2,FALSE),"nincs")</f>
        <v>0</v>
      </c>
      <c r="E279">
        <f>IFERROR(VLOOKUP($C$279,'Tantárgyi adatok'!B:D,3,FALSE),"nincs")</f>
        <v>0</v>
      </c>
      <c r="F279" t="s">
        <v>1329</v>
      </c>
      <c r="H279" t="s">
        <v>795</v>
      </c>
    </row>
    <row r="280" spans="1:8" x14ac:dyDescent="0.25">
      <c r="A280" t="s">
        <v>793</v>
      </c>
      <c r="B280" t="s">
        <v>794</v>
      </c>
      <c r="C280" t="s">
        <v>39</v>
      </c>
      <c r="D280">
        <f>IFERROR(VLOOKUP($C$280,'Tantárgyi adatok'!B:D,2,FALSE),"nincs")</f>
        <v>0</v>
      </c>
      <c r="E280">
        <f>IFERROR(VLOOKUP($C$280,'Tantárgyi adatok'!B:D,3,FALSE),"nincs")</f>
        <v>0</v>
      </c>
      <c r="F280" t="s">
        <v>1348</v>
      </c>
      <c r="H280" t="s">
        <v>795</v>
      </c>
    </row>
    <row r="281" spans="1:8" x14ac:dyDescent="0.25">
      <c r="A281" t="s">
        <v>793</v>
      </c>
      <c r="B281" t="s">
        <v>794</v>
      </c>
      <c r="C281" t="s">
        <v>39</v>
      </c>
      <c r="D281">
        <f>IFERROR(VLOOKUP($C$281,'Tantárgyi adatok'!B:D,2,FALSE),"nincs")</f>
        <v>0</v>
      </c>
      <c r="E281">
        <f>IFERROR(VLOOKUP($C$281,'Tantárgyi adatok'!B:D,3,FALSE),"nincs")</f>
        <v>0</v>
      </c>
      <c r="F281" t="s">
        <v>1368</v>
      </c>
      <c r="H281" t="s">
        <v>795</v>
      </c>
    </row>
    <row r="282" spans="1:8" x14ac:dyDescent="0.25">
      <c r="A282" t="s">
        <v>793</v>
      </c>
      <c r="B282" t="s">
        <v>794</v>
      </c>
      <c r="C282" t="s">
        <v>39</v>
      </c>
      <c r="D282">
        <f>IFERROR(VLOOKUP($C$282,'Tantárgyi adatok'!B:D,2,FALSE),"nincs")</f>
        <v>0</v>
      </c>
      <c r="E282">
        <f>IFERROR(VLOOKUP($C$282,'Tantárgyi adatok'!B:D,3,FALSE),"nincs")</f>
        <v>0</v>
      </c>
      <c r="F282" t="s">
        <v>1335</v>
      </c>
      <c r="H282" t="s">
        <v>795</v>
      </c>
    </row>
    <row r="283" spans="1:8" x14ac:dyDescent="0.25">
      <c r="A283" t="s">
        <v>793</v>
      </c>
      <c r="B283" t="s">
        <v>794</v>
      </c>
      <c r="C283" t="s">
        <v>39</v>
      </c>
      <c r="D283">
        <f>IFERROR(VLOOKUP($C$283,'Tantárgyi adatok'!B:D,2,FALSE),"nincs")</f>
        <v>0</v>
      </c>
      <c r="E283">
        <f>IFERROR(VLOOKUP($C$283,'Tantárgyi adatok'!B:D,3,FALSE),"nincs")</f>
        <v>0</v>
      </c>
      <c r="F283" t="s">
        <v>1352</v>
      </c>
      <c r="H283" t="s">
        <v>795</v>
      </c>
    </row>
    <row r="284" spans="1:8" x14ac:dyDescent="0.25">
      <c r="A284" t="s">
        <v>793</v>
      </c>
      <c r="B284" t="s">
        <v>794</v>
      </c>
      <c r="C284" t="s">
        <v>39</v>
      </c>
      <c r="D284">
        <f>IFERROR(VLOOKUP($C$284,'Tantárgyi adatok'!B:D,2,FALSE),"nincs")</f>
        <v>0</v>
      </c>
      <c r="E284">
        <f>IFERROR(VLOOKUP($C$284,'Tantárgyi adatok'!B:D,3,FALSE),"nincs")</f>
        <v>0</v>
      </c>
      <c r="F284" t="s">
        <v>1353</v>
      </c>
      <c r="H284" t="s">
        <v>795</v>
      </c>
    </row>
    <row r="285" spans="1:8" x14ac:dyDescent="0.25">
      <c r="A285" t="s">
        <v>793</v>
      </c>
      <c r="B285" t="s">
        <v>794</v>
      </c>
      <c r="C285" t="s">
        <v>39</v>
      </c>
      <c r="D285">
        <f>IFERROR(VLOOKUP($C$285,'Tantárgyi adatok'!B:D,2,FALSE),"nincs")</f>
        <v>0</v>
      </c>
      <c r="E285">
        <f>IFERROR(VLOOKUP($C$285,'Tantárgyi adatok'!B:D,3,FALSE),"nincs")</f>
        <v>0</v>
      </c>
      <c r="F285" t="s">
        <v>1356</v>
      </c>
      <c r="H285" t="s">
        <v>795</v>
      </c>
    </row>
    <row r="286" spans="1:8" x14ac:dyDescent="0.25">
      <c r="A286" t="s">
        <v>793</v>
      </c>
      <c r="B286" t="s">
        <v>794</v>
      </c>
      <c r="C286" t="s">
        <v>39</v>
      </c>
      <c r="D286">
        <f>IFERROR(VLOOKUP($C$286,'Tantárgyi adatok'!B:D,2,FALSE),"nincs")</f>
        <v>0</v>
      </c>
      <c r="E286">
        <f>IFERROR(VLOOKUP($C$286,'Tantárgyi adatok'!B:D,3,FALSE),"nincs")</f>
        <v>0</v>
      </c>
      <c r="F286" t="s">
        <v>1369</v>
      </c>
      <c r="H286" t="s">
        <v>795</v>
      </c>
    </row>
    <row r="287" spans="1:8" x14ac:dyDescent="0.25">
      <c r="A287" t="s">
        <v>796</v>
      </c>
      <c r="B287" t="s">
        <v>797</v>
      </c>
      <c r="C287" t="s">
        <v>39</v>
      </c>
      <c r="D287">
        <f>IFERROR(VLOOKUP($C$287,'Tantárgyi adatok'!B:D,2,FALSE),"nincs")</f>
        <v>0</v>
      </c>
      <c r="E287">
        <f>IFERROR(VLOOKUP($C$287,'Tantárgyi adatok'!B:D,3,FALSE),"nincs")</f>
        <v>0</v>
      </c>
      <c r="F287" t="s">
        <v>1351</v>
      </c>
      <c r="H287" t="s">
        <v>798</v>
      </c>
    </row>
    <row r="288" spans="1:8" x14ac:dyDescent="0.25">
      <c r="A288" t="s">
        <v>799</v>
      </c>
      <c r="B288" t="s">
        <v>800</v>
      </c>
      <c r="C288" t="s">
        <v>41</v>
      </c>
      <c r="D288" t="str">
        <f>IFERROR(VLOOKUP($C$288,'Tantárgyi adatok'!B:D,2,FALSE),"nincs")</f>
        <v>Szakdolgozat</v>
      </c>
      <c r="E288" t="str">
        <f>IFERROR(VLOOKUP($C$288,'Tantárgyi adatok'!B:D,3,FALSE),"nincs")</f>
        <v>Mechatronikai mérnök</v>
      </c>
      <c r="F288" t="s">
        <v>1359</v>
      </c>
      <c r="H288" t="s">
        <v>801</v>
      </c>
    </row>
    <row r="289" spans="1:8" x14ac:dyDescent="0.25">
      <c r="A289" t="s">
        <v>802</v>
      </c>
      <c r="B289" t="s">
        <v>803</v>
      </c>
      <c r="C289" t="s">
        <v>41</v>
      </c>
      <c r="D289" t="str">
        <f>IFERROR(VLOOKUP($C$289,'Tantárgyi adatok'!B:D,2,FALSE),"nincs")</f>
        <v>Szakdolgozat</v>
      </c>
      <c r="E289" t="str">
        <f>IFERROR(VLOOKUP($C$289,'Tantárgyi adatok'!B:D,3,FALSE),"nincs")</f>
        <v>Mechatronikai mérnök</v>
      </c>
      <c r="F289" t="s">
        <v>1322</v>
      </c>
      <c r="H289" t="s">
        <v>804</v>
      </c>
    </row>
    <row r="290" spans="1:8" x14ac:dyDescent="0.25">
      <c r="A290" t="s">
        <v>805</v>
      </c>
      <c r="B290" t="s">
        <v>806</v>
      </c>
      <c r="C290" t="s">
        <v>41</v>
      </c>
      <c r="D290" t="str">
        <f>IFERROR(VLOOKUP($C$290,'Tantárgyi adatok'!B:D,2,FALSE),"nincs")</f>
        <v>Szakdolgozat</v>
      </c>
      <c r="E290" t="str">
        <f>IFERROR(VLOOKUP($C$290,'Tantárgyi adatok'!B:D,3,FALSE),"nincs")</f>
        <v>Mechatronikai mérnök</v>
      </c>
      <c r="F290" t="s">
        <v>1358</v>
      </c>
      <c r="H290" t="s">
        <v>807</v>
      </c>
    </row>
    <row r="291" spans="1:8" x14ac:dyDescent="0.25">
      <c r="A291" t="s">
        <v>808</v>
      </c>
      <c r="B291" t="s">
        <v>809</v>
      </c>
      <c r="C291" t="s">
        <v>41</v>
      </c>
      <c r="D291" t="str">
        <f>IFERROR(VLOOKUP($C$291,'Tantárgyi adatok'!B:D,2,FALSE),"nincs")</f>
        <v>Szakdolgozat</v>
      </c>
      <c r="E291" t="str">
        <f>IFERROR(VLOOKUP($C$291,'Tantárgyi adatok'!B:D,3,FALSE),"nincs")</f>
        <v>Mechatronikai mérnök</v>
      </c>
      <c r="F291" t="s">
        <v>1343</v>
      </c>
      <c r="H291" t="s">
        <v>810</v>
      </c>
    </row>
    <row r="292" spans="1:8" x14ac:dyDescent="0.25">
      <c r="A292" t="s">
        <v>811</v>
      </c>
      <c r="B292" t="s">
        <v>812</v>
      </c>
      <c r="C292" t="s">
        <v>41</v>
      </c>
      <c r="D292" t="str">
        <f>IFERROR(VLOOKUP($C$292,'Tantárgyi adatok'!B:D,2,FALSE),"nincs")</f>
        <v>Szakdolgozat</v>
      </c>
      <c r="E292" t="str">
        <f>IFERROR(VLOOKUP($C$292,'Tantárgyi adatok'!B:D,3,FALSE),"nincs")</f>
        <v>Mechatronikai mérnök</v>
      </c>
      <c r="F292" t="s">
        <v>1334</v>
      </c>
      <c r="H292" t="s">
        <v>813</v>
      </c>
    </row>
    <row r="293" spans="1:8" x14ac:dyDescent="0.25">
      <c r="A293" t="s">
        <v>814</v>
      </c>
      <c r="B293" t="s">
        <v>815</v>
      </c>
      <c r="C293" t="s">
        <v>41</v>
      </c>
      <c r="D293" t="str">
        <f>IFERROR(VLOOKUP($C$293,'Tantárgyi adatok'!B:D,2,FALSE),"nincs")</f>
        <v>Szakdolgozat</v>
      </c>
      <c r="E293" t="str">
        <f>IFERROR(VLOOKUP($C$293,'Tantárgyi adatok'!B:D,3,FALSE),"nincs")</f>
        <v>Mechatronikai mérnök</v>
      </c>
      <c r="F293" t="s">
        <v>1358</v>
      </c>
      <c r="H293" t="s">
        <v>816</v>
      </c>
    </row>
    <row r="294" spans="1:8" x14ac:dyDescent="0.25">
      <c r="A294" t="s">
        <v>817</v>
      </c>
      <c r="B294" t="s">
        <v>818</v>
      </c>
      <c r="C294" t="s">
        <v>41</v>
      </c>
      <c r="D294" t="str">
        <f>IFERROR(VLOOKUP($C$294,'Tantárgyi adatok'!B:D,2,FALSE),"nincs")</f>
        <v>Szakdolgozat</v>
      </c>
      <c r="E294" t="str">
        <f>IFERROR(VLOOKUP($C$294,'Tantárgyi adatok'!B:D,3,FALSE),"nincs")</f>
        <v>Mechatronikai mérnök</v>
      </c>
      <c r="F294" t="s">
        <v>1358</v>
      </c>
      <c r="H294" t="s">
        <v>819</v>
      </c>
    </row>
    <row r="295" spans="1:8" x14ac:dyDescent="0.25">
      <c r="A295" t="s">
        <v>820</v>
      </c>
      <c r="B295" t="s">
        <v>821</v>
      </c>
      <c r="C295" t="s">
        <v>41</v>
      </c>
      <c r="D295" t="str">
        <f>IFERROR(VLOOKUP($C$295,'Tantárgyi adatok'!B:D,2,FALSE),"nincs")</f>
        <v>Szakdolgozat</v>
      </c>
      <c r="E295" t="str">
        <f>IFERROR(VLOOKUP($C$295,'Tantárgyi adatok'!B:D,3,FALSE),"nincs")</f>
        <v>Mechatronikai mérnök</v>
      </c>
      <c r="F295" t="s">
        <v>1336</v>
      </c>
      <c r="H295" t="s">
        <v>822</v>
      </c>
    </row>
    <row r="296" spans="1:8" x14ac:dyDescent="0.25">
      <c r="A296" t="s">
        <v>823</v>
      </c>
      <c r="B296" t="s">
        <v>824</v>
      </c>
      <c r="C296" t="s">
        <v>41</v>
      </c>
      <c r="D296" t="str">
        <f>IFERROR(VLOOKUP($C$296,'Tantárgyi adatok'!B:D,2,FALSE),"nincs")</f>
        <v>Szakdolgozat</v>
      </c>
      <c r="E296" t="str">
        <f>IFERROR(VLOOKUP($C$296,'Tantárgyi adatok'!B:D,3,FALSE),"nincs")</f>
        <v>Mechatronikai mérnök</v>
      </c>
      <c r="F296" t="s">
        <v>1336</v>
      </c>
      <c r="H296" t="s">
        <v>825</v>
      </c>
    </row>
    <row r="297" spans="1:8" x14ac:dyDescent="0.25">
      <c r="A297" t="s">
        <v>826</v>
      </c>
      <c r="B297" t="s">
        <v>827</v>
      </c>
      <c r="C297" t="s">
        <v>41</v>
      </c>
      <c r="D297" t="str">
        <f>IFERROR(VLOOKUP($C$297,'Tantárgyi adatok'!B:D,2,FALSE),"nincs")</f>
        <v>Szakdolgozat</v>
      </c>
      <c r="E297" t="str">
        <f>IFERROR(VLOOKUP($C$297,'Tantárgyi adatok'!B:D,3,FALSE),"nincs")</f>
        <v>Mechatronikai mérnök</v>
      </c>
      <c r="F297" t="s">
        <v>1330</v>
      </c>
      <c r="H297" t="s">
        <v>828</v>
      </c>
    </row>
    <row r="298" spans="1:8" x14ac:dyDescent="0.25">
      <c r="A298" t="s">
        <v>829</v>
      </c>
      <c r="B298" t="s">
        <v>830</v>
      </c>
      <c r="C298" t="s">
        <v>41</v>
      </c>
      <c r="D298" t="str">
        <f>IFERROR(VLOOKUP($C$298,'Tantárgyi adatok'!B:D,2,FALSE),"nincs")</f>
        <v>Szakdolgozat</v>
      </c>
      <c r="E298" t="str">
        <f>IFERROR(VLOOKUP($C$298,'Tantárgyi adatok'!B:D,3,FALSE),"nincs")</f>
        <v>Mechatronikai mérnök</v>
      </c>
      <c r="F298" t="s">
        <v>1358</v>
      </c>
      <c r="H298" t="s">
        <v>831</v>
      </c>
    </row>
    <row r="299" spans="1:8" x14ac:dyDescent="0.25">
      <c r="A299" t="s">
        <v>829</v>
      </c>
      <c r="B299" t="s">
        <v>830</v>
      </c>
      <c r="C299" t="s">
        <v>41</v>
      </c>
      <c r="D299" t="str">
        <f>IFERROR(VLOOKUP($C$299,'Tantárgyi adatok'!B:D,2,FALSE),"nincs")</f>
        <v>Szakdolgozat</v>
      </c>
      <c r="E299" t="str">
        <f>IFERROR(VLOOKUP($C$299,'Tantárgyi adatok'!B:D,3,FALSE),"nincs")</f>
        <v>Mechatronikai mérnök</v>
      </c>
      <c r="F299" t="s">
        <v>1370</v>
      </c>
      <c r="H299" t="s">
        <v>831</v>
      </c>
    </row>
    <row r="300" spans="1:8" x14ac:dyDescent="0.25">
      <c r="A300" t="s">
        <v>832</v>
      </c>
      <c r="B300" t="s">
        <v>833</v>
      </c>
      <c r="C300" t="s">
        <v>41</v>
      </c>
      <c r="D300" t="str">
        <f>IFERROR(VLOOKUP($C$300,'Tantárgyi adatok'!B:D,2,FALSE),"nincs")</f>
        <v>Szakdolgozat</v>
      </c>
      <c r="E300" t="str">
        <f>IFERROR(VLOOKUP($C$300,'Tantárgyi adatok'!B:D,3,FALSE),"nincs")</f>
        <v>Mechatronikai mérnök</v>
      </c>
      <c r="F300" t="s">
        <v>1336</v>
      </c>
      <c r="H300" t="s">
        <v>834</v>
      </c>
    </row>
    <row r="301" spans="1:8" x14ac:dyDescent="0.25">
      <c r="A301" t="s">
        <v>835</v>
      </c>
      <c r="B301" t="s">
        <v>836</v>
      </c>
      <c r="C301" t="s">
        <v>41</v>
      </c>
      <c r="D301" t="str">
        <f>IFERROR(VLOOKUP($C$301,'Tantárgyi adatok'!B:D,2,FALSE),"nincs")</f>
        <v>Szakdolgozat</v>
      </c>
      <c r="E301" t="str">
        <f>IFERROR(VLOOKUP($C$301,'Tantárgyi adatok'!B:D,3,FALSE),"nincs")</f>
        <v>Mechatronikai mérnök</v>
      </c>
      <c r="F301" t="s">
        <v>1358</v>
      </c>
      <c r="H301" t="s">
        <v>837</v>
      </c>
    </row>
    <row r="302" spans="1:8" x14ac:dyDescent="0.25">
      <c r="A302" t="s">
        <v>838</v>
      </c>
      <c r="B302" t="s">
        <v>839</v>
      </c>
      <c r="C302" t="s">
        <v>41</v>
      </c>
      <c r="D302" t="str">
        <f>IFERROR(VLOOKUP($C$302,'Tantárgyi adatok'!B:D,2,FALSE),"nincs")</f>
        <v>Szakdolgozat</v>
      </c>
      <c r="E302" t="str">
        <f>IFERROR(VLOOKUP($C$302,'Tantárgyi adatok'!B:D,3,FALSE),"nincs")</f>
        <v>Mechatronikai mérnök</v>
      </c>
      <c r="F302" t="s">
        <v>1358</v>
      </c>
      <c r="H302" t="s">
        <v>840</v>
      </c>
    </row>
    <row r="303" spans="1:8" x14ac:dyDescent="0.25">
      <c r="A303" t="s">
        <v>841</v>
      </c>
      <c r="B303" t="s">
        <v>842</v>
      </c>
      <c r="C303" t="s">
        <v>43</v>
      </c>
      <c r="D303" t="str">
        <f>IFERROR(VLOOKUP($C$303,'Tantárgyi adatok'!B:D,2,FALSE),"nincs")</f>
        <v>Szakdolgozat</v>
      </c>
      <c r="E303" t="str">
        <f>IFERROR(VLOOKUP($C$303,'Tantárgyi adatok'!B:D,3,FALSE),"nincs")</f>
        <v>Villamosmérnök</v>
      </c>
      <c r="F303" t="s">
        <v>1330</v>
      </c>
      <c r="H303" t="s">
        <v>843</v>
      </c>
    </row>
    <row r="304" spans="1:8" x14ac:dyDescent="0.25">
      <c r="A304" t="s">
        <v>844</v>
      </c>
      <c r="B304" t="s">
        <v>845</v>
      </c>
      <c r="C304" t="s">
        <v>43</v>
      </c>
      <c r="D304" t="str">
        <f>IFERROR(VLOOKUP($C$304,'Tantárgyi adatok'!B:D,2,FALSE),"nincs")</f>
        <v>Szakdolgozat</v>
      </c>
      <c r="E304" t="str">
        <f>IFERROR(VLOOKUP($C$304,'Tantárgyi adatok'!B:D,3,FALSE),"nincs")</f>
        <v>Villamosmérnök</v>
      </c>
      <c r="F304" t="s">
        <v>1330</v>
      </c>
      <c r="H304" t="s">
        <v>846</v>
      </c>
    </row>
    <row r="305" spans="1:8" x14ac:dyDescent="0.25">
      <c r="A305" t="s">
        <v>847</v>
      </c>
      <c r="B305" t="s">
        <v>848</v>
      </c>
      <c r="C305" t="s">
        <v>43</v>
      </c>
      <c r="D305" t="str">
        <f>IFERROR(VLOOKUP($C$305,'Tantárgyi adatok'!B:D,2,FALSE),"nincs")</f>
        <v>Szakdolgozat</v>
      </c>
      <c r="E305" t="str">
        <f>IFERROR(VLOOKUP($C$305,'Tantárgyi adatok'!B:D,3,FALSE),"nincs")</f>
        <v>Villamosmérnök</v>
      </c>
      <c r="F305" t="s">
        <v>1364</v>
      </c>
      <c r="H305" t="s">
        <v>849</v>
      </c>
    </row>
    <row r="306" spans="1:8" x14ac:dyDescent="0.25">
      <c r="A306" t="s">
        <v>850</v>
      </c>
      <c r="B306" t="s">
        <v>851</v>
      </c>
      <c r="C306" t="s">
        <v>43</v>
      </c>
      <c r="D306" t="str">
        <f>IFERROR(VLOOKUP($C$306,'Tantárgyi adatok'!B:D,2,FALSE),"nincs")</f>
        <v>Szakdolgozat</v>
      </c>
      <c r="E306" t="str">
        <f>IFERROR(VLOOKUP($C$306,'Tantárgyi adatok'!B:D,3,FALSE),"nincs")</f>
        <v>Villamosmérnök</v>
      </c>
      <c r="F306" t="s">
        <v>1316</v>
      </c>
      <c r="H306" t="s">
        <v>852</v>
      </c>
    </row>
    <row r="307" spans="1:8" x14ac:dyDescent="0.25">
      <c r="A307" t="s">
        <v>853</v>
      </c>
      <c r="B307" t="s">
        <v>854</v>
      </c>
      <c r="C307" t="s">
        <v>43</v>
      </c>
      <c r="D307" t="str">
        <f>IFERROR(VLOOKUP($C$307,'Tantárgyi adatok'!B:D,2,FALSE),"nincs")</f>
        <v>Szakdolgozat</v>
      </c>
      <c r="E307" t="str">
        <f>IFERROR(VLOOKUP($C$307,'Tantárgyi adatok'!B:D,3,FALSE),"nincs")</f>
        <v>Villamosmérnök</v>
      </c>
      <c r="F307" t="s">
        <v>1332</v>
      </c>
      <c r="H307" t="s">
        <v>855</v>
      </c>
    </row>
    <row r="308" spans="1:8" x14ac:dyDescent="0.25">
      <c r="A308" t="s">
        <v>856</v>
      </c>
      <c r="B308" t="s">
        <v>857</v>
      </c>
      <c r="C308" t="s">
        <v>43</v>
      </c>
      <c r="D308" t="str">
        <f>IFERROR(VLOOKUP($C$308,'Tantárgyi adatok'!B:D,2,FALSE),"nincs")</f>
        <v>Szakdolgozat</v>
      </c>
      <c r="E308" t="str">
        <f>IFERROR(VLOOKUP($C$308,'Tantárgyi adatok'!B:D,3,FALSE),"nincs")</f>
        <v>Villamosmérnök</v>
      </c>
      <c r="F308" t="s">
        <v>1351</v>
      </c>
      <c r="H308" t="s">
        <v>858</v>
      </c>
    </row>
    <row r="309" spans="1:8" x14ac:dyDescent="0.25">
      <c r="A309" t="s">
        <v>859</v>
      </c>
      <c r="B309" t="s">
        <v>860</v>
      </c>
      <c r="C309" t="s">
        <v>43</v>
      </c>
      <c r="D309" t="str">
        <f>IFERROR(VLOOKUP($C$309,'Tantárgyi adatok'!B:D,2,FALSE),"nincs")</f>
        <v>Szakdolgozat</v>
      </c>
      <c r="E309" t="str">
        <f>IFERROR(VLOOKUP($C$309,'Tantárgyi adatok'!B:D,3,FALSE),"nincs")</f>
        <v>Villamosmérnök</v>
      </c>
      <c r="F309" t="s">
        <v>1108</v>
      </c>
      <c r="H309" t="s">
        <v>861</v>
      </c>
    </row>
    <row r="310" spans="1:8" x14ac:dyDescent="0.25">
      <c r="A310" t="s">
        <v>862</v>
      </c>
      <c r="B310" t="s">
        <v>863</v>
      </c>
      <c r="C310" t="s">
        <v>43</v>
      </c>
      <c r="D310" t="str">
        <f>IFERROR(VLOOKUP($C$310,'Tantárgyi adatok'!B:D,2,FALSE),"nincs")</f>
        <v>Szakdolgozat</v>
      </c>
      <c r="E310" t="str">
        <f>IFERROR(VLOOKUP($C$310,'Tantárgyi adatok'!B:D,3,FALSE),"nincs")</f>
        <v>Villamosmérnök</v>
      </c>
      <c r="F310" t="s">
        <v>1329</v>
      </c>
      <c r="H310" t="s">
        <v>864</v>
      </c>
    </row>
    <row r="311" spans="1:8" x14ac:dyDescent="0.25">
      <c r="A311" t="s">
        <v>865</v>
      </c>
      <c r="B311" t="s">
        <v>866</v>
      </c>
      <c r="C311" t="s">
        <v>43</v>
      </c>
      <c r="D311" t="str">
        <f>IFERROR(VLOOKUP($C$311,'Tantárgyi adatok'!B:D,2,FALSE),"nincs")</f>
        <v>Szakdolgozat</v>
      </c>
      <c r="E311" t="str">
        <f>IFERROR(VLOOKUP($C$311,'Tantárgyi adatok'!B:D,3,FALSE),"nincs")</f>
        <v>Villamosmérnök</v>
      </c>
      <c r="F311" t="s">
        <v>1322</v>
      </c>
      <c r="H311" t="s">
        <v>867</v>
      </c>
    </row>
    <row r="312" spans="1:8" x14ac:dyDescent="0.25">
      <c r="A312" t="s">
        <v>868</v>
      </c>
      <c r="B312" t="s">
        <v>869</v>
      </c>
      <c r="C312" t="s">
        <v>43</v>
      </c>
      <c r="D312" t="str">
        <f>IFERROR(VLOOKUP($C$312,'Tantárgyi adatok'!B:D,2,FALSE),"nincs")</f>
        <v>Szakdolgozat</v>
      </c>
      <c r="E312" t="str">
        <f>IFERROR(VLOOKUP($C$312,'Tantárgyi adatok'!B:D,3,FALSE),"nincs")</f>
        <v>Villamosmérnök</v>
      </c>
      <c r="F312" t="s">
        <v>1337</v>
      </c>
      <c r="H312" t="s">
        <v>870</v>
      </c>
    </row>
    <row r="313" spans="1:8" x14ac:dyDescent="0.25">
      <c r="A313" t="s">
        <v>871</v>
      </c>
      <c r="B313" t="s">
        <v>872</v>
      </c>
      <c r="C313" t="s">
        <v>43</v>
      </c>
      <c r="D313" t="str">
        <f>IFERROR(VLOOKUP($C$313,'Tantárgyi adatok'!B:D,2,FALSE),"nincs")</f>
        <v>Szakdolgozat</v>
      </c>
      <c r="E313" t="str">
        <f>IFERROR(VLOOKUP($C$313,'Tantárgyi adatok'!B:D,3,FALSE),"nincs")</f>
        <v>Villamosmérnök</v>
      </c>
      <c r="F313" t="s">
        <v>1357</v>
      </c>
      <c r="H313" t="s">
        <v>873</v>
      </c>
    </row>
    <row r="314" spans="1:8" x14ac:dyDescent="0.25">
      <c r="A314" t="s">
        <v>874</v>
      </c>
      <c r="B314" t="s">
        <v>875</v>
      </c>
      <c r="C314" t="s">
        <v>43</v>
      </c>
      <c r="D314" t="str">
        <f>IFERROR(VLOOKUP($C$314,'Tantárgyi adatok'!B:D,2,FALSE),"nincs")</f>
        <v>Szakdolgozat</v>
      </c>
      <c r="E314" t="str">
        <f>IFERROR(VLOOKUP($C$314,'Tantárgyi adatok'!B:D,3,FALSE),"nincs")</f>
        <v>Villamosmérnök</v>
      </c>
      <c r="F314" t="s">
        <v>1352</v>
      </c>
      <c r="H314" t="s">
        <v>876</v>
      </c>
    </row>
    <row r="315" spans="1:8" x14ac:dyDescent="0.25">
      <c r="A315" t="s">
        <v>877</v>
      </c>
      <c r="B315" t="s">
        <v>878</v>
      </c>
      <c r="C315" t="s">
        <v>43</v>
      </c>
      <c r="D315" t="str">
        <f>IFERROR(VLOOKUP($C$315,'Tantárgyi adatok'!B:D,2,FALSE),"nincs")</f>
        <v>Szakdolgozat</v>
      </c>
      <c r="E315" t="str">
        <f>IFERROR(VLOOKUP($C$315,'Tantárgyi adatok'!B:D,3,FALSE),"nincs")</f>
        <v>Villamosmérnök</v>
      </c>
      <c r="F315" t="s">
        <v>1326</v>
      </c>
      <c r="H315" t="s">
        <v>879</v>
      </c>
    </row>
    <row r="316" spans="1:8" x14ac:dyDescent="0.25">
      <c r="A316" t="s">
        <v>880</v>
      </c>
      <c r="B316" t="s">
        <v>881</v>
      </c>
      <c r="C316" t="s">
        <v>43</v>
      </c>
      <c r="D316" t="str">
        <f>IFERROR(VLOOKUP($C$316,'Tantárgyi adatok'!B:D,2,FALSE),"nincs")</f>
        <v>Szakdolgozat</v>
      </c>
      <c r="E316" t="str">
        <f>IFERROR(VLOOKUP($C$316,'Tantárgyi adatok'!B:D,3,FALSE),"nincs")</f>
        <v>Villamosmérnök</v>
      </c>
      <c r="F316" t="s">
        <v>1334</v>
      </c>
      <c r="H316" t="s">
        <v>882</v>
      </c>
    </row>
    <row r="317" spans="1:8" x14ac:dyDescent="0.25">
      <c r="A317" t="s">
        <v>883</v>
      </c>
      <c r="B317" t="s">
        <v>884</v>
      </c>
      <c r="C317" t="s">
        <v>43</v>
      </c>
      <c r="D317" t="str">
        <f>IFERROR(VLOOKUP($C$317,'Tantárgyi adatok'!B:D,2,FALSE),"nincs")</f>
        <v>Szakdolgozat</v>
      </c>
      <c r="E317" t="str">
        <f>IFERROR(VLOOKUP($C$317,'Tantárgyi adatok'!B:D,3,FALSE),"nincs")</f>
        <v>Villamosmérnök</v>
      </c>
      <c r="F317" t="s">
        <v>1355</v>
      </c>
      <c r="H317" t="s">
        <v>885</v>
      </c>
    </row>
    <row r="318" spans="1:8" x14ac:dyDescent="0.25">
      <c r="A318" t="s">
        <v>886</v>
      </c>
      <c r="B318" t="s">
        <v>887</v>
      </c>
      <c r="C318" t="s">
        <v>43</v>
      </c>
      <c r="D318" t="str">
        <f>IFERROR(VLOOKUP($C$318,'Tantárgyi adatok'!B:D,2,FALSE),"nincs")</f>
        <v>Szakdolgozat</v>
      </c>
      <c r="E318" t="str">
        <f>IFERROR(VLOOKUP($C$318,'Tantárgyi adatok'!B:D,3,FALSE),"nincs")</f>
        <v>Villamosmérnök</v>
      </c>
      <c r="F318" t="s">
        <v>1326</v>
      </c>
      <c r="H318" t="s">
        <v>888</v>
      </c>
    </row>
    <row r="319" spans="1:8" x14ac:dyDescent="0.25">
      <c r="A319" t="s">
        <v>889</v>
      </c>
      <c r="B319" t="s">
        <v>890</v>
      </c>
      <c r="C319" t="s">
        <v>43</v>
      </c>
      <c r="D319" t="str">
        <f>IFERROR(VLOOKUP($C$319,'Tantárgyi adatok'!B:D,2,FALSE),"nincs")</f>
        <v>Szakdolgozat</v>
      </c>
      <c r="E319" t="str">
        <f>IFERROR(VLOOKUP($C$319,'Tantárgyi adatok'!B:D,3,FALSE),"nincs")</f>
        <v>Villamosmérnök</v>
      </c>
      <c r="F319" t="s">
        <v>1353</v>
      </c>
      <c r="H319" t="s">
        <v>891</v>
      </c>
    </row>
    <row r="320" spans="1:8" x14ac:dyDescent="0.25">
      <c r="A320" t="s">
        <v>892</v>
      </c>
      <c r="B320" t="s">
        <v>893</v>
      </c>
      <c r="C320" t="s">
        <v>43</v>
      </c>
      <c r="D320" t="str">
        <f>IFERROR(VLOOKUP($C$320,'Tantárgyi adatok'!B:D,2,FALSE),"nincs")</f>
        <v>Szakdolgozat</v>
      </c>
      <c r="E320" t="str">
        <f>IFERROR(VLOOKUP($C$320,'Tantárgyi adatok'!B:D,3,FALSE),"nincs")</f>
        <v>Villamosmérnök</v>
      </c>
      <c r="F320" t="s">
        <v>1348</v>
      </c>
      <c r="H320" t="s">
        <v>894</v>
      </c>
    </row>
    <row r="321" spans="1:8" x14ac:dyDescent="0.25">
      <c r="A321" t="s">
        <v>895</v>
      </c>
      <c r="B321" t="s">
        <v>896</v>
      </c>
      <c r="C321" t="s">
        <v>43</v>
      </c>
      <c r="D321" t="str">
        <f>IFERROR(VLOOKUP($C$321,'Tantárgyi adatok'!B:D,2,FALSE),"nincs")</f>
        <v>Szakdolgozat</v>
      </c>
      <c r="E321" t="str">
        <f>IFERROR(VLOOKUP($C$321,'Tantárgyi adatok'!B:D,3,FALSE),"nincs")</f>
        <v>Villamosmérnök</v>
      </c>
      <c r="F321" t="s">
        <v>1348</v>
      </c>
      <c r="H321" t="s">
        <v>897</v>
      </c>
    </row>
    <row r="322" spans="1:8" x14ac:dyDescent="0.25">
      <c r="A322" t="s">
        <v>898</v>
      </c>
      <c r="B322" t="s">
        <v>899</v>
      </c>
      <c r="C322" t="s">
        <v>43</v>
      </c>
      <c r="D322" t="str">
        <f>IFERROR(VLOOKUP($C$322,'Tantárgyi adatok'!B:D,2,FALSE),"nincs")</f>
        <v>Szakdolgozat</v>
      </c>
      <c r="E322" t="str">
        <f>IFERROR(VLOOKUP($C$322,'Tantárgyi adatok'!B:D,3,FALSE),"nincs")</f>
        <v>Villamosmérnök</v>
      </c>
      <c r="F322" t="s">
        <v>1364</v>
      </c>
      <c r="H322" t="s">
        <v>900</v>
      </c>
    </row>
    <row r="323" spans="1:8" x14ac:dyDescent="0.25">
      <c r="A323" t="s">
        <v>901</v>
      </c>
      <c r="B323" t="s">
        <v>902</v>
      </c>
      <c r="C323" t="s">
        <v>43</v>
      </c>
      <c r="D323" t="str">
        <f>IFERROR(VLOOKUP($C$323,'Tantárgyi adatok'!B:D,2,FALSE),"nincs")</f>
        <v>Szakdolgozat</v>
      </c>
      <c r="E323" t="str">
        <f>IFERROR(VLOOKUP($C$323,'Tantárgyi adatok'!B:D,3,FALSE),"nincs")</f>
        <v>Villamosmérnök</v>
      </c>
      <c r="F323" t="s">
        <v>1364</v>
      </c>
      <c r="H323" t="s">
        <v>903</v>
      </c>
    </row>
    <row r="324" spans="1:8" x14ac:dyDescent="0.25">
      <c r="A324" t="s">
        <v>904</v>
      </c>
      <c r="B324" t="s">
        <v>905</v>
      </c>
      <c r="C324" t="s">
        <v>43</v>
      </c>
      <c r="D324" t="str">
        <f>IFERROR(VLOOKUP($C$324,'Tantárgyi adatok'!B:D,2,FALSE),"nincs")</f>
        <v>Szakdolgozat</v>
      </c>
      <c r="E324" t="str">
        <f>IFERROR(VLOOKUP($C$324,'Tantárgyi adatok'!B:D,3,FALSE),"nincs")</f>
        <v>Villamosmérnök</v>
      </c>
      <c r="F324" t="s">
        <v>1330</v>
      </c>
      <c r="H324" t="s">
        <v>906</v>
      </c>
    </row>
    <row r="325" spans="1:8" x14ac:dyDescent="0.25">
      <c r="A325" t="s">
        <v>907</v>
      </c>
      <c r="B325" t="s">
        <v>908</v>
      </c>
      <c r="C325" t="s">
        <v>43</v>
      </c>
      <c r="D325" t="str">
        <f>IFERROR(VLOOKUP($C$325,'Tantárgyi adatok'!B:D,2,FALSE),"nincs")</f>
        <v>Szakdolgozat</v>
      </c>
      <c r="E325" t="str">
        <f>IFERROR(VLOOKUP($C$325,'Tantárgyi adatok'!B:D,3,FALSE),"nincs")</f>
        <v>Villamosmérnök</v>
      </c>
      <c r="F325" t="s">
        <v>1371</v>
      </c>
      <c r="H325" t="s">
        <v>909</v>
      </c>
    </row>
    <row r="326" spans="1:8" x14ac:dyDescent="0.25">
      <c r="A326" t="s">
        <v>907</v>
      </c>
      <c r="B326" t="s">
        <v>908</v>
      </c>
      <c r="C326" t="s">
        <v>43</v>
      </c>
      <c r="D326" t="str">
        <f>IFERROR(VLOOKUP($C$326,'Tantárgyi adatok'!B:D,2,FALSE),"nincs")</f>
        <v>Szakdolgozat</v>
      </c>
      <c r="E326" t="str">
        <f>IFERROR(VLOOKUP($C$326,'Tantárgyi adatok'!B:D,3,FALSE),"nincs")</f>
        <v>Villamosmérnök</v>
      </c>
      <c r="F326" t="s">
        <v>1372</v>
      </c>
      <c r="H326" t="s">
        <v>909</v>
      </c>
    </row>
    <row r="327" spans="1:8" x14ac:dyDescent="0.25">
      <c r="A327" t="s">
        <v>910</v>
      </c>
      <c r="B327" t="s">
        <v>911</v>
      </c>
      <c r="C327" t="s">
        <v>43</v>
      </c>
      <c r="D327" t="str">
        <f>IFERROR(VLOOKUP($C$327,'Tantárgyi adatok'!B:D,2,FALSE),"nincs")</f>
        <v>Szakdolgozat</v>
      </c>
      <c r="E327" t="str">
        <f>IFERROR(VLOOKUP($C$327,'Tantárgyi adatok'!B:D,3,FALSE),"nincs")</f>
        <v>Villamosmérnök</v>
      </c>
      <c r="F327" t="s">
        <v>1371</v>
      </c>
      <c r="H327" t="s">
        <v>912</v>
      </c>
    </row>
    <row r="328" spans="1:8" x14ac:dyDescent="0.25">
      <c r="A328" t="s">
        <v>910</v>
      </c>
      <c r="B328" t="s">
        <v>911</v>
      </c>
      <c r="C328" t="s">
        <v>43</v>
      </c>
      <c r="D328" t="str">
        <f>IFERROR(VLOOKUP($C$328,'Tantárgyi adatok'!B:D,2,FALSE),"nincs")</f>
        <v>Szakdolgozat</v>
      </c>
      <c r="E328" t="str">
        <f>IFERROR(VLOOKUP($C$328,'Tantárgyi adatok'!B:D,3,FALSE),"nincs")</f>
        <v>Villamosmérnök</v>
      </c>
      <c r="F328" t="s">
        <v>1372</v>
      </c>
      <c r="H328" t="s">
        <v>912</v>
      </c>
    </row>
    <row r="329" spans="1:8" x14ac:dyDescent="0.25">
      <c r="A329" t="s">
        <v>913</v>
      </c>
      <c r="B329" t="s">
        <v>914</v>
      </c>
      <c r="C329" t="s">
        <v>43</v>
      </c>
      <c r="D329" t="str">
        <f>IFERROR(VLOOKUP($C$329,'Tantárgyi adatok'!B:D,2,FALSE),"nincs")</f>
        <v>Szakdolgozat</v>
      </c>
      <c r="E329" t="str">
        <f>IFERROR(VLOOKUP($C$329,'Tantárgyi adatok'!B:D,3,FALSE),"nincs")</f>
        <v>Villamosmérnök</v>
      </c>
      <c r="F329" t="s">
        <v>1370</v>
      </c>
      <c r="H329" t="s">
        <v>915</v>
      </c>
    </row>
    <row r="330" spans="1:8" x14ac:dyDescent="0.25">
      <c r="A330" t="s">
        <v>916</v>
      </c>
      <c r="B330" t="s">
        <v>917</v>
      </c>
      <c r="C330" t="s">
        <v>43</v>
      </c>
      <c r="D330" t="str">
        <f>IFERROR(VLOOKUP($C$330,'Tantárgyi adatok'!B:D,2,FALSE),"nincs")</f>
        <v>Szakdolgozat</v>
      </c>
      <c r="E330" t="str">
        <f>IFERROR(VLOOKUP($C$330,'Tantárgyi adatok'!B:D,3,FALSE),"nincs")</f>
        <v>Villamosmérnök</v>
      </c>
      <c r="F330" t="s">
        <v>1353</v>
      </c>
      <c r="H330" t="s">
        <v>918</v>
      </c>
    </row>
    <row r="331" spans="1:8" x14ac:dyDescent="0.25">
      <c r="A331" t="s">
        <v>919</v>
      </c>
      <c r="B331" t="s">
        <v>920</v>
      </c>
      <c r="C331" t="s">
        <v>43</v>
      </c>
      <c r="D331" t="str">
        <f>IFERROR(VLOOKUP($C$331,'Tantárgyi adatok'!B:D,2,FALSE),"nincs")</f>
        <v>Szakdolgozat</v>
      </c>
      <c r="E331" t="str">
        <f>IFERROR(VLOOKUP($C$331,'Tantárgyi adatok'!B:D,3,FALSE),"nincs")</f>
        <v>Villamosmérnök</v>
      </c>
      <c r="F331" t="s">
        <v>1348</v>
      </c>
      <c r="H331" t="s">
        <v>921</v>
      </c>
    </row>
    <row r="332" spans="1:8" x14ac:dyDescent="0.25">
      <c r="A332" t="s">
        <v>922</v>
      </c>
      <c r="B332" t="s">
        <v>923</v>
      </c>
      <c r="C332" t="s">
        <v>43</v>
      </c>
      <c r="D332" t="str">
        <f>IFERROR(VLOOKUP($C$332,'Tantárgyi adatok'!B:D,2,FALSE),"nincs")</f>
        <v>Szakdolgozat</v>
      </c>
      <c r="E332" t="str">
        <f>IFERROR(VLOOKUP($C$332,'Tantárgyi adatok'!B:D,3,FALSE),"nincs")</f>
        <v>Villamosmérnök</v>
      </c>
      <c r="F332" t="s">
        <v>1352</v>
      </c>
      <c r="H332" t="s">
        <v>924</v>
      </c>
    </row>
    <row r="333" spans="1:8" x14ac:dyDescent="0.25">
      <c r="A333" t="s">
        <v>925</v>
      </c>
      <c r="B333" t="s">
        <v>926</v>
      </c>
      <c r="C333" t="s">
        <v>43</v>
      </c>
      <c r="D333" t="str">
        <f>IFERROR(VLOOKUP($C$333,'Tantárgyi adatok'!B:D,2,FALSE),"nincs")</f>
        <v>Szakdolgozat</v>
      </c>
      <c r="E333" t="str">
        <f>IFERROR(VLOOKUP($C$333,'Tantárgyi adatok'!B:D,3,FALSE),"nincs")</f>
        <v>Villamosmérnök</v>
      </c>
      <c r="F333" t="s">
        <v>1334</v>
      </c>
      <c r="H333" t="s">
        <v>927</v>
      </c>
    </row>
    <row r="334" spans="1:8" x14ac:dyDescent="0.25">
      <c r="A334" t="s">
        <v>928</v>
      </c>
      <c r="B334" t="s">
        <v>929</v>
      </c>
      <c r="C334" t="s">
        <v>43</v>
      </c>
      <c r="D334" t="str">
        <f>IFERROR(VLOOKUP($C$334,'Tantárgyi adatok'!B:D,2,FALSE),"nincs")</f>
        <v>Szakdolgozat</v>
      </c>
      <c r="E334" t="str">
        <f>IFERROR(VLOOKUP($C$334,'Tantárgyi adatok'!B:D,3,FALSE),"nincs")</f>
        <v>Villamosmérnök</v>
      </c>
      <c r="F334" t="s">
        <v>1334</v>
      </c>
      <c r="H334" t="s">
        <v>930</v>
      </c>
    </row>
    <row r="335" spans="1:8" x14ac:dyDescent="0.25">
      <c r="A335" t="s">
        <v>931</v>
      </c>
      <c r="B335" t="s">
        <v>932</v>
      </c>
      <c r="C335" t="s">
        <v>43</v>
      </c>
      <c r="D335" t="str">
        <f>IFERROR(VLOOKUP($C$335,'Tantárgyi adatok'!B:D,2,FALSE),"nincs")</f>
        <v>Szakdolgozat</v>
      </c>
      <c r="E335" t="str">
        <f>IFERROR(VLOOKUP($C$335,'Tantárgyi adatok'!B:D,3,FALSE),"nincs")</f>
        <v>Villamosmérnök</v>
      </c>
      <c r="F335" t="s">
        <v>1342</v>
      </c>
      <c r="H335" t="s">
        <v>933</v>
      </c>
    </row>
    <row r="336" spans="1:8" x14ac:dyDescent="0.25">
      <c r="A336" t="s">
        <v>934</v>
      </c>
      <c r="B336" t="s">
        <v>935</v>
      </c>
      <c r="C336" t="s">
        <v>45</v>
      </c>
      <c r="D336" t="str">
        <f>IFERROR(VLOOKUP($C$336,'Tantárgyi adatok'!B:D,2,FALSE),"nincs")</f>
        <v>Szakdolgozat</v>
      </c>
      <c r="E336" t="str">
        <f>IFERROR(VLOOKUP($C$336,'Tantárgyi adatok'!B:D,3,FALSE),"nincs")</f>
        <v>Villamosmérnök</v>
      </c>
      <c r="F336" t="s">
        <v>1361</v>
      </c>
      <c r="H336" t="s">
        <v>936</v>
      </c>
    </row>
    <row r="337" spans="1:8" x14ac:dyDescent="0.25">
      <c r="A337" t="s">
        <v>937</v>
      </c>
      <c r="B337" t="s">
        <v>938</v>
      </c>
      <c r="C337" t="s">
        <v>45</v>
      </c>
      <c r="D337" t="str">
        <f>IFERROR(VLOOKUP($C$337,'Tantárgyi adatok'!B:D,2,FALSE),"nincs")</f>
        <v>Szakdolgozat</v>
      </c>
      <c r="E337" t="str">
        <f>IFERROR(VLOOKUP($C$337,'Tantárgyi adatok'!B:D,3,FALSE),"nincs")</f>
        <v>Villamosmérnök</v>
      </c>
      <c r="F337" t="s">
        <v>1326</v>
      </c>
      <c r="H337" t="s">
        <v>939</v>
      </c>
    </row>
    <row r="338" spans="1:8" x14ac:dyDescent="0.25">
      <c r="A338" t="s">
        <v>940</v>
      </c>
      <c r="B338" t="s">
        <v>941</v>
      </c>
      <c r="C338" t="s">
        <v>47</v>
      </c>
      <c r="D338" t="str">
        <f>IFERROR(VLOOKUP($C$338,'Tantárgyi adatok'!B:D,2,FALSE),"nincs")</f>
        <v>Szakdolgozat</v>
      </c>
      <c r="E338" t="str">
        <f>IFERROR(VLOOKUP($C$338,'Tantárgyi adatok'!B:D,3,FALSE),"nincs")</f>
        <v>Mérnökinformatikus</v>
      </c>
      <c r="F338" t="s">
        <v>1315</v>
      </c>
      <c r="H338" t="s">
        <v>942</v>
      </c>
    </row>
    <row r="339" spans="1:8" x14ac:dyDescent="0.25">
      <c r="A339" t="s">
        <v>943</v>
      </c>
      <c r="B339" t="s">
        <v>944</v>
      </c>
      <c r="C339" t="s">
        <v>47</v>
      </c>
      <c r="D339" t="str">
        <f>IFERROR(VLOOKUP($C$339,'Tantárgyi adatok'!B:D,2,FALSE),"nincs")</f>
        <v>Szakdolgozat</v>
      </c>
      <c r="E339" t="str">
        <f>IFERROR(VLOOKUP($C$339,'Tantárgyi adatok'!B:D,3,FALSE),"nincs")</f>
        <v>Mérnökinformatikus</v>
      </c>
      <c r="F339" t="s">
        <v>1315</v>
      </c>
      <c r="H339" t="s">
        <v>945</v>
      </c>
    </row>
    <row r="340" spans="1:8" x14ac:dyDescent="0.25">
      <c r="A340" t="s">
        <v>946</v>
      </c>
      <c r="B340" t="s">
        <v>947</v>
      </c>
      <c r="C340" t="s">
        <v>47</v>
      </c>
      <c r="D340" t="str">
        <f>IFERROR(VLOOKUP($C$340,'Tantárgyi adatok'!B:D,2,FALSE),"nincs")</f>
        <v>Szakdolgozat</v>
      </c>
      <c r="E340" t="str">
        <f>IFERROR(VLOOKUP($C$340,'Tantárgyi adatok'!B:D,3,FALSE),"nincs")</f>
        <v>Mérnökinformatikus</v>
      </c>
      <c r="F340" t="s">
        <v>1359</v>
      </c>
      <c r="H340" t="s">
        <v>948</v>
      </c>
    </row>
    <row r="341" spans="1:8" x14ac:dyDescent="0.25">
      <c r="A341" t="s">
        <v>949</v>
      </c>
      <c r="B341" t="s">
        <v>950</v>
      </c>
      <c r="C341" t="s">
        <v>47</v>
      </c>
      <c r="D341" t="str">
        <f>IFERROR(VLOOKUP($C$341,'Tantárgyi adatok'!B:D,2,FALSE),"nincs")</f>
        <v>Szakdolgozat</v>
      </c>
      <c r="E341" t="str">
        <f>IFERROR(VLOOKUP($C$341,'Tantárgyi adatok'!B:D,3,FALSE),"nincs")</f>
        <v>Mérnökinformatikus</v>
      </c>
      <c r="F341" t="s">
        <v>1340</v>
      </c>
      <c r="H341" t="s">
        <v>951</v>
      </c>
    </row>
    <row r="342" spans="1:8" x14ac:dyDescent="0.25">
      <c r="A342" t="s">
        <v>952</v>
      </c>
      <c r="B342" t="s">
        <v>953</v>
      </c>
      <c r="C342" t="s">
        <v>47</v>
      </c>
      <c r="D342" t="str">
        <f>IFERROR(VLOOKUP($C$342,'Tantárgyi adatok'!B:D,2,FALSE),"nincs")</f>
        <v>Szakdolgozat</v>
      </c>
      <c r="E342" t="str">
        <f>IFERROR(VLOOKUP($C$342,'Tantárgyi adatok'!B:D,3,FALSE),"nincs")</f>
        <v>Mérnökinformatikus</v>
      </c>
      <c r="F342" t="s">
        <v>1341</v>
      </c>
      <c r="H342" t="s">
        <v>954</v>
      </c>
    </row>
    <row r="343" spans="1:8" x14ac:dyDescent="0.25">
      <c r="A343" t="s">
        <v>955</v>
      </c>
      <c r="B343" t="s">
        <v>956</v>
      </c>
      <c r="C343" t="s">
        <v>47</v>
      </c>
      <c r="D343" t="str">
        <f>IFERROR(VLOOKUP($C$343,'Tantárgyi adatok'!B:D,2,FALSE),"nincs")</f>
        <v>Szakdolgozat</v>
      </c>
      <c r="E343" t="str">
        <f>IFERROR(VLOOKUP($C$343,'Tantárgyi adatok'!B:D,3,FALSE),"nincs")</f>
        <v>Mérnökinformatikus</v>
      </c>
      <c r="F343" t="s">
        <v>1341</v>
      </c>
      <c r="H343" t="s">
        <v>957</v>
      </c>
    </row>
    <row r="344" spans="1:8" x14ac:dyDescent="0.25">
      <c r="A344" t="s">
        <v>958</v>
      </c>
      <c r="B344" t="s">
        <v>959</v>
      </c>
      <c r="C344" t="s">
        <v>47</v>
      </c>
      <c r="D344" t="str">
        <f>IFERROR(VLOOKUP($C$344,'Tantárgyi adatok'!B:D,2,FALSE),"nincs")</f>
        <v>Szakdolgozat</v>
      </c>
      <c r="E344" t="str">
        <f>IFERROR(VLOOKUP($C$344,'Tantárgyi adatok'!B:D,3,FALSE),"nincs")</f>
        <v>Mérnökinformatikus</v>
      </c>
      <c r="F344" t="s">
        <v>1341</v>
      </c>
      <c r="H344" t="s">
        <v>960</v>
      </c>
    </row>
    <row r="345" spans="1:8" x14ac:dyDescent="0.25">
      <c r="A345" t="s">
        <v>961</v>
      </c>
      <c r="B345" t="s">
        <v>962</v>
      </c>
      <c r="C345" t="s">
        <v>47</v>
      </c>
      <c r="D345" t="str">
        <f>IFERROR(VLOOKUP($C$345,'Tantárgyi adatok'!B:D,2,FALSE),"nincs")</f>
        <v>Szakdolgozat</v>
      </c>
      <c r="E345" t="str">
        <f>IFERROR(VLOOKUP($C$345,'Tantárgyi adatok'!B:D,3,FALSE),"nincs")</f>
        <v>Mérnökinformatikus</v>
      </c>
      <c r="F345" t="s">
        <v>1338</v>
      </c>
      <c r="H345" t="s">
        <v>963</v>
      </c>
    </row>
    <row r="346" spans="1:8" x14ac:dyDescent="0.25">
      <c r="A346" t="s">
        <v>964</v>
      </c>
      <c r="B346" t="s">
        <v>965</v>
      </c>
      <c r="C346" t="s">
        <v>47</v>
      </c>
      <c r="D346" t="str">
        <f>IFERROR(VLOOKUP($C$346,'Tantárgyi adatok'!B:D,2,FALSE),"nincs")</f>
        <v>Szakdolgozat</v>
      </c>
      <c r="E346" t="str">
        <f>IFERROR(VLOOKUP($C$346,'Tantárgyi adatok'!B:D,3,FALSE),"nincs")</f>
        <v>Mérnökinformatikus</v>
      </c>
      <c r="F346" t="s">
        <v>1323</v>
      </c>
      <c r="H346" t="s">
        <v>966</v>
      </c>
    </row>
    <row r="347" spans="1:8" x14ac:dyDescent="0.25">
      <c r="A347" t="s">
        <v>967</v>
      </c>
      <c r="B347" t="s">
        <v>968</v>
      </c>
      <c r="C347" t="s">
        <v>47</v>
      </c>
      <c r="D347" t="str">
        <f>IFERROR(VLOOKUP($C$347,'Tantárgyi adatok'!B:D,2,FALSE),"nincs")</f>
        <v>Szakdolgozat</v>
      </c>
      <c r="E347" t="str">
        <f>IFERROR(VLOOKUP($C$347,'Tantárgyi adatok'!B:D,3,FALSE),"nincs")</f>
        <v>Mérnökinformatikus</v>
      </c>
      <c r="F347" t="s">
        <v>1321</v>
      </c>
      <c r="H347" t="s">
        <v>969</v>
      </c>
    </row>
    <row r="348" spans="1:8" x14ac:dyDescent="0.25">
      <c r="A348" t="s">
        <v>970</v>
      </c>
      <c r="B348" t="s">
        <v>971</v>
      </c>
      <c r="C348" t="s">
        <v>47</v>
      </c>
      <c r="D348" t="str">
        <f>IFERROR(VLOOKUP($C$348,'Tantárgyi adatok'!B:D,2,FALSE),"nincs")</f>
        <v>Szakdolgozat</v>
      </c>
      <c r="E348" t="str">
        <f>IFERROR(VLOOKUP($C$348,'Tantárgyi adatok'!B:D,3,FALSE),"nincs")</f>
        <v>Mérnökinformatikus</v>
      </c>
      <c r="F348" t="s">
        <v>1345</v>
      </c>
      <c r="H348" t="s">
        <v>972</v>
      </c>
    </row>
    <row r="349" spans="1:8" x14ac:dyDescent="0.25">
      <c r="A349" t="s">
        <v>973</v>
      </c>
      <c r="B349" t="s">
        <v>974</v>
      </c>
      <c r="C349" t="s">
        <v>47</v>
      </c>
      <c r="D349" t="str">
        <f>IFERROR(VLOOKUP($C$349,'Tantárgyi adatok'!B:D,2,FALSE),"nincs")</f>
        <v>Szakdolgozat</v>
      </c>
      <c r="E349" t="str">
        <f>IFERROR(VLOOKUP($C$349,'Tantárgyi adatok'!B:D,3,FALSE),"nincs")</f>
        <v>Mérnökinformatikus</v>
      </c>
      <c r="F349" t="s">
        <v>1325</v>
      </c>
      <c r="H349" t="s">
        <v>975</v>
      </c>
    </row>
    <row r="350" spans="1:8" x14ac:dyDescent="0.25">
      <c r="A350" t="s">
        <v>976</v>
      </c>
      <c r="B350" t="s">
        <v>977</v>
      </c>
      <c r="C350" t="s">
        <v>47</v>
      </c>
      <c r="D350" t="str">
        <f>IFERROR(VLOOKUP($C$350,'Tantárgyi adatok'!B:D,2,FALSE),"nincs")</f>
        <v>Szakdolgozat</v>
      </c>
      <c r="E350" t="str">
        <f>IFERROR(VLOOKUP($C$350,'Tantárgyi adatok'!B:D,3,FALSE),"nincs")</f>
        <v>Mérnökinformatikus</v>
      </c>
      <c r="F350" t="s">
        <v>1321</v>
      </c>
      <c r="H350" t="s">
        <v>978</v>
      </c>
    </row>
    <row r="351" spans="1:8" x14ac:dyDescent="0.25">
      <c r="A351" t="s">
        <v>979</v>
      </c>
      <c r="B351" t="s">
        <v>980</v>
      </c>
      <c r="C351" t="s">
        <v>47</v>
      </c>
      <c r="D351" t="str">
        <f>IFERROR(VLOOKUP($C$351,'Tantárgyi adatok'!B:D,2,FALSE),"nincs")</f>
        <v>Szakdolgozat</v>
      </c>
      <c r="E351" t="str">
        <f>IFERROR(VLOOKUP($C$351,'Tantárgyi adatok'!B:D,3,FALSE),"nincs")</f>
        <v>Mérnökinformatikus</v>
      </c>
      <c r="F351" t="s">
        <v>1321</v>
      </c>
      <c r="H351" t="s">
        <v>981</v>
      </c>
    </row>
    <row r="352" spans="1:8" x14ac:dyDescent="0.25">
      <c r="A352" t="s">
        <v>982</v>
      </c>
      <c r="B352" t="s">
        <v>983</v>
      </c>
      <c r="C352" t="s">
        <v>47</v>
      </c>
      <c r="D352" t="str">
        <f>IFERROR(VLOOKUP($C$352,'Tantárgyi adatok'!B:D,2,FALSE),"nincs")</f>
        <v>Szakdolgozat</v>
      </c>
      <c r="E352" t="str">
        <f>IFERROR(VLOOKUP($C$352,'Tantárgyi adatok'!B:D,3,FALSE),"nincs")</f>
        <v>Mérnökinformatikus</v>
      </c>
      <c r="F352" t="s">
        <v>1345</v>
      </c>
      <c r="H352" t="s">
        <v>984</v>
      </c>
    </row>
    <row r="353" spans="1:8" x14ac:dyDescent="0.25">
      <c r="A353" t="s">
        <v>985</v>
      </c>
      <c r="B353" t="s">
        <v>986</v>
      </c>
      <c r="C353" t="s">
        <v>47</v>
      </c>
      <c r="D353" t="str">
        <f>IFERROR(VLOOKUP($C$353,'Tantárgyi adatok'!B:D,2,FALSE),"nincs")</f>
        <v>Szakdolgozat</v>
      </c>
      <c r="E353" t="str">
        <f>IFERROR(VLOOKUP($C$353,'Tantárgyi adatok'!B:D,3,FALSE),"nincs")</f>
        <v>Mérnökinformatikus</v>
      </c>
      <c r="F353" t="s">
        <v>1316</v>
      </c>
      <c r="H353" t="s">
        <v>987</v>
      </c>
    </row>
    <row r="354" spans="1:8" x14ac:dyDescent="0.25">
      <c r="A354" t="s">
        <v>988</v>
      </c>
      <c r="B354" t="s">
        <v>989</v>
      </c>
      <c r="C354" t="s">
        <v>47</v>
      </c>
      <c r="D354" t="str">
        <f>IFERROR(VLOOKUP($C$354,'Tantárgyi adatok'!B:D,2,FALSE),"nincs")</f>
        <v>Szakdolgozat</v>
      </c>
      <c r="E354" t="str">
        <f>IFERROR(VLOOKUP($C$354,'Tantárgyi adatok'!B:D,3,FALSE),"nincs")</f>
        <v>Mérnökinformatikus</v>
      </c>
      <c r="F354" t="s">
        <v>1317</v>
      </c>
      <c r="H354" t="s">
        <v>990</v>
      </c>
    </row>
    <row r="355" spans="1:8" x14ac:dyDescent="0.25">
      <c r="A355" t="s">
        <v>991</v>
      </c>
      <c r="B355" t="s">
        <v>992</v>
      </c>
      <c r="C355" t="s">
        <v>47</v>
      </c>
      <c r="D355" t="str">
        <f>IFERROR(VLOOKUP($C$355,'Tantárgyi adatok'!B:D,2,FALSE),"nincs")</f>
        <v>Szakdolgozat</v>
      </c>
      <c r="E355" t="str">
        <f>IFERROR(VLOOKUP($C$355,'Tantárgyi adatok'!B:D,3,FALSE),"nincs")</f>
        <v>Mérnökinformatikus</v>
      </c>
      <c r="F355" t="s">
        <v>1108</v>
      </c>
      <c r="H355" t="s">
        <v>993</v>
      </c>
    </row>
    <row r="356" spans="1:8" x14ac:dyDescent="0.25">
      <c r="A356" t="s">
        <v>994</v>
      </c>
      <c r="B356" t="s">
        <v>995</v>
      </c>
      <c r="C356" t="s">
        <v>47</v>
      </c>
      <c r="D356" t="str">
        <f>IFERROR(VLOOKUP($C$356,'Tantárgyi adatok'!B:D,2,FALSE),"nincs")</f>
        <v>Szakdolgozat</v>
      </c>
      <c r="E356" t="str">
        <f>IFERROR(VLOOKUP($C$356,'Tantárgyi adatok'!B:D,3,FALSE),"nincs")</f>
        <v>Mérnökinformatikus</v>
      </c>
      <c r="F356" t="s">
        <v>1345</v>
      </c>
      <c r="H356" t="s">
        <v>996</v>
      </c>
    </row>
    <row r="357" spans="1:8" x14ac:dyDescent="0.25">
      <c r="A357" t="s">
        <v>997</v>
      </c>
      <c r="B357" t="s">
        <v>998</v>
      </c>
      <c r="C357" t="s">
        <v>47</v>
      </c>
      <c r="D357" t="str">
        <f>IFERROR(VLOOKUP($C$357,'Tantárgyi adatok'!B:D,2,FALSE),"nincs")</f>
        <v>Szakdolgozat</v>
      </c>
      <c r="E357" t="str">
        <f>IFERROR(VLOOKUP($C$357,'Tantárgyi adatok'!B:D,3,FALSE),"nincs")</f>
        <v>Mérnökinformatikus</v>
      </c>
      <c r="F357" t="s">
        <v>1345</v>
      </c>
      <c r="H357" t="s">
        <v>999</v>
      </c>
    </row>
    <row r="358" spans="1:8" x14ac:dyDescent="0.25">
      <c r="A358" t="s">
        <v>1000</v>
      </c>
      <c r="B358" t="s">
        <v>1001</v>
      </c>
      <c r="C358" t="s">
        <v>47</v>
      </c>
      <c r="D358" t="str">
        <f>IFERROR(VLOOKUP($C$358,'Tantárgyi adatok'!B:D,2,FALSE),"nincs")</f>
        <v>Szakdolgozat</v>
      </c>
      <c r="E358" t="str">
        <f>IFERROR(VLOOKUP($C$358,'Tantárgyi adatok'!B:D,3,FALSE),"nincs")</f>
        <v>Mérnökinformatikus</v>
      </c>
      <c r="F358" t="s">
        <v>1373</v>
      </c>
      <c r="H358" t="s">
        <v>1002</v>
      </c>
    </row>
    <row r="359" spans="1:8" x14ac:dyDescent="0.25">
      <c r="A359" t="s">
        <v>1003</v>
      </c>
      <c r="B359" t="s">
        <v>1004</v>
      </c>
      <c r="C359" t="s">
        <v>47</v>
      </c>
      <c r="D359" t="str">
        <f>IFERROR(VLOOKUP($C$359,'Tantárgyi adatok'!B:D,2,FALSE),"nincs")</f>
        <v>Szakdolgozat</v>
      </c>
      <c r="E359" t="str">
        <f>IFERROR(VLOOKUP($C$359,'Tantárgyi adatok'!B:D,3,FALSE),"nincs")</f>
        <v>Mérnökinformatikus</v>
      </c>
      <c r="F359" t="s">
        <v>1315</v>
      </c>
      <c r="H359" t="s">
        <v>1005</v>
      </c>
    </row>
    <row r="360" spans="1:8" x14ac:dyDescent="0.25">
      <c r="A360" t="s">
        <v>1006</v>
      </c>
      <c r="B360" t="s">
        <v>1007</v>
      </c>
      <c r="C360" t="s">
        <v>47</v>
      </c>
      <c r="D360" t="str">
        <f>IFERROR(VLOOKUP($C$360,'Tantárgyi adatok'!B:D,2,FALSE),"nincs")</f>
        <v>Szakdolgozat</v>
      </c>
      <c r="E360" t="str">
        <f>IFERROR(VLOOKUP($C$360,'Tantárgyi adatok'!B:D,3,FALSE),"nincs")</f>
        <v>Mérnökinformatikus</v>
      </c>
      <c r="F360" t="s">
        <v>1315</v>
      </c>
      <c r="H360" t="s">
        <v>1008</v>
      </c>
    </row>
    <row r="361" spans="1:8" x14ac:dyDescent="0.25">
      <c r="A361" t="s">
        <v>1009</v>
      </c>
      <c r="B361" t="s">
        <v>1010</v>
      </c>
      <c r="C361" t="s">
        <v>47</v>
      </c>
      <c r="D361" t="str">
        <f>IFERROR(VLOOKUP($C$361,'Tantárgyi adatok'!B:D,2,FALSE),"nincs")</f>
        <v>Szakdolgozat</v>
      </c>
      <c r="E361" t="str">
        <f>IFERROR(VLOOKUP($C$361,'Tantárgyi adatok'!B:D,3,FALSE),"nincs")</f>
        <v>Mérnökinformatikus</v>
      </c>
      <c r="F361" t="s">
        <v>1315</v>
      </c>
      <c r="H361" t="s">
        <v>1011</v>
      </c>
    </row>
    <row r="362" spans="1:8" x14ac:dyDescent="0.25">
      <c r="A362" t="s">
        <v>1012</v>
      </c>
      <c r="B362" t="s">
        <v>1013</v>
      </c>
      <c r="C362" t="s">
        <v>47</v>
      </c>
      <c r="D362" t="str">
        <f>IFERROR(VLOOKUP($C$362,'Tantárgyi adatok'!B:D,2,FALSE),"nincs")</f>
        <v>Szakdolgozat</v>
      </c>
      <c r="E362" t="str">
        <f>IFERROR(VLOOKUP($C$362,'Tantárgyi adatok'!B:D,3,FALSE),"nincs")</f>
        <v>Mérnökinformatikus</v>
      </c>
      <c r="F362" t="s">
        <v>1318</v>
      </c>
      <c r="H362" t="s">
        <v>1014</v>
      </c>
    </row>
    <row r="363" spans="1:8" x14ac:dyDescent="0.25">
      <c r="A363" t="s">
        <v>1012</v>
      </c>
      <c r="B363" t="s">
        <v>1013</v>
      </c>
      <c r="C363" t="s">
        <v>47</v>
      </c>
      <c r="D363" t="str">
        <f>IFERROR(VLOOKUP($C$363,'Tantárgyi adatok'!B:D,2,FALSE),"nincs")</f>
        <v>Szakdolgozat</v>
      </c>
      <c r="E363" t="str">
        <f>IFERROR(VLOOKUP($C$363,'Tantárgyi adatok'!B:D,3,FALSE),"nincs")</f>
        <v>Mérnökinformatikus</v>
      </c>
      <c r="F363" t="s">
        <v>1316</v>
      </c>
      <c r="H363" t="s">
        <v>1014</v>
      </c>
    </row>
    <row r="364" spans="1:8" x14ac:dyDescent="0.25">
      <c r="A364" t="s">
        <v>1015</v>
      </c>
      <c r="B364" t="s">
        <v>1016</v>
      </c>
      <c r="C364" t="s">
        <v>47</v>
      </c>
      <c r="D364" t="str">
        <f>IFERROR(VLOOKUP($C$364,'Tantárgyi adatok'!B:D,2,FALSE),"nincs")</f>
        <v>Szakdolgozat</v>
      </c>
      <c r="E364" t="str">
        <f>IFERROR(VLOOKUP($C$364,'Tantárgyi adatok'!B:D,3,FALSE),"nincs")</f>
        <v>Mérnökinformatikus</v>
      </c>
      <c r="F364" t="s">
        <v>1347</v>
      </c>
      <c r="H364" t="s">
        <v>1017</v>
      </c>
    </row>
    <row r="365" spans="1:8" x14ac:dyDescent="0.25">
      <c r="A365" t="s">
        <v>1018</v>
      </c>
      <c r="B365" t="s">
        <v>1019</v>
      </c>
      <c r="C365" t="s">
        <v>47</v>
      </c>
      <c r="D365" t="str">
        <f>IFERROR(VLOOKUP($C$365,'Tantárgyi adatok'!B:D,2,FALSE),"nincs")</f>
        <v>Szakdolgozat</v>
      </c>
      <c r="E365" t="str">
        <f>IFERROR(VLOOKUP($C$365,'Tantárgyi adatok'!B:D,3,FALSE),"nincs")</f>
        <v>Mérnökinformatikus</v>
      </c>
      <c r="F365" t="s">
        <v>1345</v>
      </c>
      <c r="H365" t="s">
        <v>1020</v>
      </c>
    </row>
    <row r="366" spans="1:8" x14ac:dyDescent="0.25">
      <c r="A366" t="s">
        <v>1021</v>
      </c>
      <c r="B366" t="s">
        <v>1022</v>
      </c>
      <c r="C366" t="s">
        <v>47</v>
      </c>
      <c r="D366" t="str">
        <f>IFERROR(VLOOKUP($C$366,'Tantárgyi adatok'!B:D,2,FALSE),"nincs")</f>
        <v>Szakdolgozat</v>
      </c>
      <c r="E366" t="str">
        <f>IFERROR(VLOOKUP($C$366,'Tantárgyi adatok'!B:D,3,FALSE),"nincs")</f>
        <v>Mérnökinformatikus</v>
      </c>
      <c r="F366" t="s">
        <v>1345</v>
      </c>
      <c r="H366" t="s">
        <v>1023</v>
      </c>
    </row>
    <row r="367" spans="1:8" x14ac:dyDescent="0.25">
      <c r="A367" t="s">
        <v>1024</v>
      </c>
      <c r="B367" t="s">
        <v>1025</v>
      </c>
      <c r="C367" t="s">
        <v>47</v>
      </c>
      <c r="D367" t="str">
        <f>IFERROR(VLOOKUP($C$367,'Tantárgyi adatok'!B:D,2,FALSE),"nincs")</f>
        <v>Szakdolgozat</v>
      </c>
      <c r="E367" t="str">
        <f>IFERROR(VLOOKUP($C$367,'Tantárgyi adatok'!B:D,3,FALSE),"nincs")</f>
        <v>Mérnökinformatikus</v>
      </c>
      <c r="F367" t="s">
        <v>1317</v>
      </c>
      <c r="H367" t="s">
        <v>1026</v>
      </c>
    </row>
    <row r="368" spans="1:8" x14ac:dyDescent="0.25">
      <c r="A368" t="s">
        <v>1027</v>
      </c>
      <c r="B368" t="s">
        <v>1028</v>
      </c>
      <c r="C368" t="s">
        <v>47</v>
      </c>
      <c r="D368" t="str">
        <f>IFERROR(VLOOKUP($C$368,'Tantárgyi adatok'!B:D,2,FALSE),"nincs")</f>
        <v>Szakdolgozat</v>
      </c>
      <c r="E368" t="str">
        <f>IFERROR(VLOOKUP($C$368,'Tantárgyi adatok'!B:D,3,FALSE),"nincs")</f>
        <v>Mérnökinformatikus</v>
      </c>
      <c r="F368" t="s">
        <v>1321</v>
      </c>
      <c r="H368" t="s">
        <v>1029</v>
      </c>
    </row>
    <row r="369" spans="1:8" x14ac:dyDescent="0.25">
      <c r="A369" t="s">
        <v>1030</v>
      </c>
      <c r="B369" t="s">
        <v>1031</v>
      </c>
      <c r="C369" t="s">
        <v>47</v>
      </c>
      <c r="D369" t="str">
        <f>IFERROR(VLOOKUP($C$369,'Tantárgyi adatok'!B:D,2,FALSE),"nincs")</f>
        <v>Szakdolgozat</v>
      </c>
      <c r="E369" t="str">
        <f>IFERROR(VLOOKUP($C$369,'Tantárgyi adatok'!B:D,3,FALSE),"nincs")</f>
        <v>Mérnökinformatikus</v>
      </c>
      <c r="F369" t="s">
        <v>1374</v>
      </c>
      <c r="H369" t="s">
        <v>1032</v>
      </c>
    </row>
    <row r="370" spans="1:8" x14ac:dyDescent="0.25">
      <c r="A370" t="s">
        <v>1033</v>
      </c>
      <c r="B370" t="s">
        <v>1034</v>
      </c>
      <c r="C370" t="s">
        <v>47</v>
      </c>
      <c r="D370" t="str">
        <f>IFERROR(VLOOKUP($C$370,'Tantárgyi adatok'!B:D,2,FALSE),"nincs")</f>
        <v>Szakdolgozat</v>
      </c>
      <c r="E370" t="str">
        <f>IFERROR(VLOOKUP($C$370,'Tantárgyi adatok'!B:D,3,FALSE),"nincs")</f>
        <v>Mérnökinformatikus</v>
      </c>
      <c r="F370" t="s">
        <v>1319</v>
      </c>
      <c r="H370" t="s">
        <v>1035</v>
      </c>
    </row>
    <row r="371" spans="1:8" x14ac:dyDescent="0.25">
      <c r="A371" t="s">
        <v>1036</v>
      </c>
      <c r="B371" t="s">
        <v>1037</v>
      </c>
      <c r="C371" t="s">
        <v>49</v>
      </c>
      <c r="D371" t="str">
        <f>IFERROR(VLOOKUP($C$371,'Tantárgyi adatok'!B:D,2,FALSE),"nincs")</f>
        <v>Szakdolgozat</v>
      </c>
      <c r="E371" t="str">
        <f>IFERROR(VLOOKUP($C$371,'Tantárgyi adatok'!B:D,3,FALSE),"nincs")</f>
        <v>Mérnökinformatikus</v>
      </c>
      <c r="F371" t="s">
        <v>1315</v>
      </c>
      <c r="H371" t="s">
        <v>1038</v>
      </c>
    </row>
    <row r="372" spans="1:8" x14ac:dyDescent="0.25">
      <c r="A372" t="s">
        <v>1039</v>
      </c>
      <c r="B372" t="s">
        <v>1040</v>
      </c>
      <c r="C372" t="s">
        <v>49</v>
      </c>
      <c r="D372" t="str">
        <f>IFERROR(VLOOKUP($C$372,'Tantárgyi adatok'!B:D,2,FALSE),"nincs")</f>
        <v>Szakdolgozat</v>
      </c>
      <c r="E372" t="str">
        <f>IFERROR(VLOOKUP($C$372,'Tantárgyi adatok'!B:D,3,FALSE),"nincs")</f>
        <v>Mérnökinformatikus</v>
      </c>
      <c r="F372" t="s">
        <v>1315</v>
      </c>
      <c r="H372" t="s">
        <v>1041</v>
      </c>
    </row>
    <row r="373" spans="1:8" x14ac:dyDescent="0.25">
      <c r="A373" t="s">
        <v>1042</v>
      </c>
      <c r="B373" t="s">
        <v>1043</v>
      </c>
      <c r="C373" t="s">
        <v>49</v>
      </c>
      <c r="D373" t="str">
        <f>IFERROR(VLOOKUP($C$373,'Tantárgyi adatok'!B:D,2,FALSE),"nincs")</f>
        <v>Szakdolgozat</v>
      </c>
      <c r="E373" t="str">
        <f>IFERROR(VLOOKUP($C$373,'Tantárgyi adatok'!B:D,3,FALSE),"nincs")</f>
        <v>Mérnökinformatikus</v>
      </c>
      <c r="F373" t="s">
        <v>1315</v>
      </c>
      <c r="H373" t="s">
        <v>1044</v>
      </c>
    </row>
    <row r="374" spans="1:8" x14ac:dyDescent="0.25">
      <c r="A374" t="s">
        <v>1045</v>
      </c>
      <c r="B374" t="s">
        <v>1046</v>
      </c>
      <c r="C374" t="s">
        <v>49</v>
      </c>
      <c r="D374" t="str">
        <f>IFERROR(VLOOKUP($C$374,'Tantárgyi adatok'!B:D,2,FALSE),"nincs")</f>
        <v>Szakdolgozat</v>
      </c>
      <c r="E374" t="str">
        <f>IFERROR(VLOOKUP($C$374,'Tantárgyi adatok'!B:D,3,FALSE),"nincs")</f>
        <v>Mérnökinformatikus</v>
      </c>
      <c r="F374" t="s">
        <v>1316</v>
      </c>
      <c r="H374" t="s">
        <v>1047</v>
      </c>
    </row>
    <row r="375" spans="1:8" x14ac:dyDescent="0.25">
      <c r="A375" t="s">
        <v>1048</v>
      </c>
      <c r="B375" t="s">
        <v>1049</v>
      </c>
      <c r="C375" t="s">
        <v>49</v>
      </c>
      <c r="D375" t="str">
        <f>IFERROR(VLOOKUP($C$375,'Tantárgyi adatok'!B:D,2,FALSE),"nincs")</f>
        <v>Szakdolgozat</v>
      </c>
      <c r="E375" t="str">
        <f>IFERROR(VLOOKUP($C$375,'Tantárgyi adatok'!B:D,3,FALSE),"nincs")</f>
        <v>Mérnökinformatikus</v>
      </c>
      <c r="F375" t="s">
        <v>1345</v>
      </c>
      <c r="H375" t="s">
        <v>1050</v>
      </c>
    </row>
    <row r="376" spans="1:8" x14ac:dyDescent="0.25">
      <c r="A376" t="s">
        <v>1051</v>
      </c>
      <c r="B376" t="s">
        <v>1052</v>
      </c>
      <c r="C376" t="s">
        <v>49</v>
      </c>
      <c r="D376" t="str">
        <f>IFERROR(VLOOKUP($C$376,'Tantárgyi adatok'!B:D,2,FALSE),"nincs")</f>
        <v>Szakdolgozat</v>
      </c>
      <c r="E376" t="str">
        <f>IFERROR(VLOOKUP($C$376,'Tantárgyi adatok'!B:D,3,FALSE),"nincs")</f>
        <v>Mérnökinformatikus</v>
      </c>
      <c r="F376" t="s">
        <v>1316</v>
      </c>
      <c r="H376" t="s">
        <v>1053</v>
      </c>
    </row>
    <row r="377" spans="1:8" x14ac:dyDescent="0.25">
      <c r="A377" t="s">
        <v>1054</v>
      </c>
      <c r="B377" t="s">
        <v>1055</v>
      </c>
      <c r="C377" t="s">
        <v>49</v>
      </c>
      <c r="D377" t="str">
        <f>IFERROR(VLOOKUP($C$377,'Tantárgyi adatok'!B:D,2,FALSE),"nincs")</f>
        <v>Szakdolgozat</v>
      </c>
      <c r="E377" t="str">
        <f>IFERROR(VLOOKUP($C$377,'Tantárgyi adatok'!B:D,3,FALSE),"nincs")</f>
        <v>Mérnökinformatikus</v>
      </c>
      <c r="F377" t="s">
        <v>1322</v>
      </c>
      <c r="H377" t="s">
        <v>1056</v>
      </c>
    </row>
    <row r="378" spans="1:8" x14ac:dyDescent="0.25">
      <c r="A378" t="s">
        <v>1057</v>
      </c>
      <c r="B378" t="s">
        <v>1058</v>
      </c>
      <c r="C378" t="s">
        <v>49</v>
      </c>
      <c r="D378" t="str">
        <f>IFERROR(VLOOKUP($C$378,'Tantárgyi adatok'!B:D,2,FALSE),"nincs")</f>
        <v>Szakdolgozat</v>
      </c>
      <c r="E378" t="str">
        <f>IFERROR(VLOOKUP($C$378,'Tantárgyi adatok'!B:D,3,FALSE),"nincs")</f>
        <v>Mérnökinformatikus</v>
      </c>
      <c r="F378" t="s">
        <v>1322</v>
      </c>
      <c r="H378" t="s">
        <v>1059</v>
      </c>
    </row>
    <row r="379" spans="1:8" x14ac:dyDescent="0.25">
      <c r="A379" t="s">
        <v>1060</v>
      </c>
      <c r="B379" t="s">
        <v>1061</v>
      </c>
      <c r="C379" t="s">
        <v>49</v>
      </c>
      <c r="D379" t="str">
        <f>IFERROR(VLOOKUP($C$379,'Tantárgyi adatok'!B:D,2,FALSE),"nincs")</f>
        <v>Szakdolgozat</v>
      </c>
      <c r="E379" t="str">
        <f>IFERROR(VLOOKUP($C$379,'Tantárgyi adatok'!B:D,3,FALSE),"nincs")</f>
        <v>Mérnökinformatikus</v>
      </c>
      <c r="F379" t="s">
        <v>1338</v>
      </c>
      <c r="H379" t="s">
        <v>1062</v>
      </c>
    </row>
    <row r="380" spans="1:8" x14ac:dyDescent="0.25">
      <c r="A380" t="s">
        <v>1063</v>
      </c>
      <c r="B380" t="s">
        <v>1064</v>
      </c>
      <c r="C380" t="s">
        <v>49</v>
      </c>
      <c r="D380" t="str">
        <f>IFERROR(VLOOKUP($C$380,'Tantárgyi adatok'!B:D,2,FALSE),"nincs")</f>
        <v>Szakdolgozat</v>
      </c>
      <c r="E380" t="str">
        <f>IFERROR(VLOOKUP($C$380,'Tantárgyi adatok'!B:D,3,FALSE),"nincs")</f>
        <v>Mérnökinformatikus</v>
      </c>
      <c r="F380" t="s">
        <v>1316</v>
      </c>
      <c r="H380" t="s">
        <v>1065</v>
      </c>
    </row>
    <row r="381" spans="1:8" x14ac:dyDescent="0.25">
      <c r="A381" t="s">
        <v>1066</v>
      </c>
      <c r="B381" t="s">
        <v>1067</v>
      </c>
      <c r="C381" t="s">
        <v>49</v>
      </c>
      <c r="D381" t="str">
        <f>IFERROR(VLOOKUP($C$381,'Tantárgyi adatok'!B:D,2,FALSE),"nincs")</f>
        <v>Szakdolgozat</v>
      </c>
      <c r="E381" t="str">
        <f>IFERROR(VLOOKUP($C$381,'Tantárgyi adatok'!B:D,3,FALSE),"nincs")</f>
        <v>Mérnökinformatikus</v>
      </c>
      <c r="F381" t="s">
        <v>1318</v>
      </c>
      <c r="H381" t="s">
        <v>1068</v>
      </c>
    </row>
    <row r="382" spans="1:8" x14ac:dyDescent="0.25">
      <c r="A382" t="s">
        <v>1066</v>
      </c>
      <c r="B382" t="s">
        <v>1067</v>
      </c>
      <c r="C382" t="s">
        <v>49</v>
      </c>
      <c r="D382" t="str">
        <f>IFERROR(VLOOKUP($C$382,'Tantárgyi adatok'!B:D,2,FALSE),"nincs")</f>
        <v>Szakdolgozat</v>
      </c>
      <c r="E382" t="str">
        <f>IFERROR(VLOOKUP($C$382,'Tantárgyi adatok'!B:D,3,FALSE),"nincs")</f>
        <v>Mérnökinformatikus</v>
      </c>
      <c r="F382" t="s">
        <v>1316</v>
      </c>
      <c r="H382" t="s">
        <v>1068</v>
      </c>
    </row>
    <row r="383" spans="1:8" x14ac:dyDescent="0.25">
      <c r="A383" t="s">
        <v>1069</v>
      </c>
      <c r="B383" t="s">
        <v>1070</v>
      </c>
      <c r="C383" t="s">
        <v>49</v>
      </c>
      <c r="D383" t="str">
        <f>IFERROR(VLOOKUP($C$383,'Tantárgyi adatok'!B:D,2,FALSE),"nincs")</f>
        <v>Szakdolgozat</v>
      </c>
      <c r="E383" t="str">
        <f>IFERROR(VLOOKUP($C$383,'Tantárgyi adatok'!B:D,3,FALSE),"nincs")</f>
        <v>Mérnökinformatikus</v>
      </c>
      <c r="F383" t="s">
        <v>1316</v>
      </c>
      <c r="H383" t="s">
        <v>1071</v>
      </c>
    </row>
    <row r="384" spans="1:8" x14ac:dyDescent="0.25">
      <c r="A384" t="s">
        <v>1072</v>
      </c>
      <c r="B384" t="s">
        <v>1073</v>
      </c>
      <c r="C384" t="s">
        <v>49</v>
      </c>
      <c r="D384" t="str">
        <f>IFERROR(VLOOKUP($C$384,'Tantárgyi adatok'!B:D,2,FALSE),"nincs")</f>
        <v>Szakdolgozat</v>
      </c>
      <c r="E384" t="str">
        <f>IFERROR(VLOOKUP($C$384,'Tantárgyi adatok'!B:D,3,FALSE),"nincs")</f>
        <v>Mérnökinformatikus</v>
      </c>
      <c r="F384" t="s">
        <v>1316</v>
      </c>
      <c r="H384" t="s">
        <v>1074</v>
      </c>
    </row>
    <row r="385" spans="1:8" x14ac:dyDescent="0.25">
      <c r="A385" t="s">
        <v>1075</v>
      </c>
      <c r="B385" t="s">
        <v>1076</v>
      </c>
      <c r="C385" t="s">
        <v>49</v>
      </c>
      <c r="D385" t="str">
        <f>IFERROR(VLOOKUP($C$385,'Tantárgyi adatok'!B:D,2,FALSE),"nincs")</f>
        <v>Szakdolgozat</v>
      </c>
      <c r="E385" t="str">
        <f>IFERROR(VLOOKUP($C$385,'Tantárgyi adatok'!B:D,3,FALSE),"nincs")</f>
        <v>Mérnökinformatikus</v>
      </c>
      <c r="F385" t="s">
        <v>1316</v>
      </c>
      <c r="H385" t="s">
        <v>1077</v>
      </c>
    </row>
    <row r="386" spans="1:8" x14ac:dyDescent="0.25">
      <c r="A386" t="s">
        <v>1078</v>
      </c>
      <c r="B386" t="s">
        <v>1079</v>
      </c>
      <c r="C386" t="s">
        <v>49</v>
      </c>
      <c r="D386" t="str">
        <f>IFERROR(VLOOKUP($C$386,'Tantárgyi adatok'!B:D,2,FALSE),"nincs")</f>
        <v>Szakdolgozat</v>
      </c>
      <c r="E386" t="str">
        <f>IFERROR(VLOOKUP($C$386,'Tantárgyi adatok'!B:D,3,FALSE),"nincs")</f>
        <v>Mérnökinformatikus</v>
      </c>
      <c r="F386" t="s">
        <v>1319</v>
      </c>
      <c r="H386" t="s">
        <v>1080</v>
      </c>
    </row>
    <row r="387" spans="1:8" x14ac:dyDescent="0.25">
      <c r="A387" t="s">
        <v>1081</v>
      </c>
      <c r="B387" t="s">
        <v>1082</v>
      </c>
      <c r="C387" t="s">
        <v>49</v>
      </c>
      <c r="D387" t="str">
        <f>IFERROR(VLOOKUP($C$387,'Tantárgyi adatok'!B:D,2,FALSE),"nincs")</f>
        <v>Szakdolgozat</v>
      </c>
      <c r="E387" t="str">
        <f>IFERROR(VLOOKUP($C$387,'Tantárgyi adatok'!B:D,3,FALSE),"nincs")</f>
        <v>Mérnökinformatikus</v>
      </c>
      <c r="F387" t="s">
        <v>1341</v>
      </c>
      <c r="H387" t="s">
        <v>1083</v>
      </c>
    </row>
    <row r="388" spans="1:8" x14ac:dyDescent="0.25">
      <c r="A388" t="s">
        <v>1084</v>
      </c>
      <c r="B388" t="s">
        <v>1085</v>
      </c>
      <c r="C388" t="s">
        <v>49</v>
      </c>
      <c r="D388" t="str">
        <f>IFERROR(VLOOKUP($C$388,'Tantárgyi adatok'!B:D,2,FALSE),"nincs")</f>
        <v>Szakdolgozat</v>
      </c>
      <c r="E388" t="str">
        <f>IFERROR(VLOOKUP($C$388,'Tantárgyi adatok'!B:D,3,FALSE),"nincs")</f>
        <v>Mérnökinformatikus</v>
      </c>
      <c r="F388" t="s">
        <v>1338</v>
      </c>
      <c r="H388" t="s">
        <v>1086</v>
      </c>
    </row>
    <row r="389" spans="1:8" x14ac:dyDescent="0.25">
      <c r="A389" t="s">
        <v>1087</v>
      </c>
      <c r="B389" t="s">
        <v>1088</v>
      </c>
      <c r="C389" t="s">
        <v>49</v>
      </c>
      <c r="D389" t="str">
        <f>IFERROR(VLOOKUP($C$389,'Tantárgyi adatok'!B:D,2,FALSE),"nincs")</f>
        <v>Szakdolgozat</v>
      </c>
      <c r="E389" t="str">
        <f>IFERROR(VLOOKUP($C$389,'Tantárgyi adatok'!B:D,3,FALSE),"nincs")</f>
        <v>Mérnökinformatikus</v>
      </c>
      <c r="F389" t="s">
        <v>1338</v>
      </c>
      <c r="H389" t="s">
        <v>1089</v>
      </c>
    </row>
    <row r="390" spans="1:8" x14ac:dyDescent="0.25">
      <c r="A390" t="s">
        <v>1090</v>
      </c>
      <c r="B390" t="s">
        <v>1091</v>
      </c>
      <c r="C390" t="s">
        <v>49</v>
      </c>
      <c r="D390" t="str">
        <f>IFERROR(VLOOKUP($C$390,'Tantárgyi adatok'!B:D,2,FALSE),"nincs")</f>
        <v>Szakdolgozat</v>
      </c>
      <c r="E390" t="str">
        <f>IFERROR(VLOOKUP($C$390,'Tantárgyi adatok'!B:D,3,FALSE),"nincs")</f>
        <v>Mérnökinformatikus</v>
      </c>
      <c r="F390" t="s">
        <v>1325</v>
      </c>
      <c r="H390" t="s">
        <v>1092</v>
      </c>
    </row>
    <row r="391" spans="1:8" x14ac:dyDescent="0.25">
      <c r="A391" t="s">
        <v>1093</v>
      </c>
      <c r="B391" t="s">
        <v>1094</v>
      </c>
      <c r="C391" t="s">
        <v>49</v>
      </c>
      <c r="D391" t="str">
        <f>IFERROR(VLOOKUP($C$391,'Tantárgyi adatok'!B:D,2,FALSE),"nincs")</f>
        <v>Szakdolgozat</v>
      </c>
      <c r="E391" t="str">
        <f>IFERROR(VLOOKUP($C$391,'Tantárgyi adatok'!B:D,3,FALSE),"nincs")</f>
        <v>Mérnökinformatikus</v>
      </c>
      <c r="F391" t="s">
        <v>1325</v>
      </c>
      <c r="H391" t="s">
        <v>1095</v>
      </c>
    </row>
    <row r="392" spans="1:8" x14ac:dyDescent="0.25">
      <c r="A392" t="s">
        <v>1096</v>
      </c>
      <c r="B392" t="s">
        <v>1097</v>
      </c>
      <c r="C392" t="s">
        <v>49</v>
      </c>
      <c r="D392" t="str">
        <f>IFERROR(VLOOKUP($C$392,'Tantárgyi adatok'!B:D,2,FALSE),"nincs")</f>
        <v>Szakdolgozat</v>
      </c>
      <c r="E392" t="str">
        <f>IFERROR(VLOOKUP($C$392,'Tantárgyi adatok'!B:D,3,FALSE),"nincs")</f>
        <v>Mérnökinformatikus</v>
      </c>
      <c r="F392" t="s">
        <v>1325</v>
      </c>
      <c r="H392" t="s">
        <v>1098</v>
      </c>
    </row>
    <row r="393" spans="1:8" x14ac:dyDescent="0.25">
      <c r="A393" t="s">
        <v>1099</v>
      </c>
      <c r="B393" t="s">
        <v>1100</v>
      </c>
      <c r="C393" t="s">
        <v>49</v>
      </c>
      <c r="D393" t="str">
        <f>IFERROR(VLOOKUP($C$393,'Tantárgyi adatok'!B:D,2,FALSE),"nincs")</f>
        <v>Szakdolgozat</v>
      </c>
      <c r="E393" t="str">
        <f>IFERROR(VLOOKUP($C$393,'Tantárgyi adatok'!B:D,3,FALSE),"nincs")</f>
        <v>Mérnökinformatikus</v>
      </c>
      <c r="F393" t="s">
        <v>1325</v>
      </c>
      <c r="H393" t="s">
        <v>1101</v>
      </c>
    </row>
    <row r="394" spans="1:8" x14ac:dyDescent="0.25">
      <c r="A394" t="s">
        <v>1102</v>
      </c>
      <c r="B394" t="s">
        <v>1103</v>
      </c>
      <c r="C394" t="s">
        <v>49</v>
      </c>
      <c r="D394" t="str">
        <f>IFERROR(VLOOKUP($C$394,'Tantárgyi adatok'!B:D,2,FALSE),"nincs")</f>
        <v>Szakdolgozat</v>
      </c>
      <c r="E394" t="str">
        <f>IFERROR(VLOOKUP($C$394,'Tantárgyi adatok'!B:D,3,FALSE),"nincs")</f>
        <v>Mérnökinformatikus</v>
      </c>
      <c r="F394" t="s">
        <v>1325</v>
      </c>
      <c r="H394" t="s">
        <v>1104</v>
      </c>
    </row>
    <row r="395" spans="1:8" x14ac:dyDescent="0.25">
      <c r="A395" t="s">
        <v>1105</v>
      </c>
      <c r="B395" t="s">
        <v>1106</v>
      </c>
      <c r="C395" t="s">
        <v>49</v>
      </c>
      <c r="D395" t="str">
        <f>IFERROR(VLOOKUP($C$395,'Tantárgyi adatok'!B:D,2,FALSE),"nincs")</f>
        <v>Szakdolgozat</v>
      </c>
      <c r="E395" t="str">
        <f>IFERROR(VLOOKUP($C$395,'Tantárgyi adatok'!B:D,3,FALSE),"nincs")</f>
        <v>Mérnökinformatikus</v>
      </c>
      <c r="F395" t="s">
        <v>1324</v>
      </c>
      <c r="H395" t="s">
        <v>1107</v>
      </c>
    </row>
    <row r="396" spans="1:8" x14ac:dyDescent="0.25">
      <c r="A396" t="s">
        <v>1108</v>
      </c>
      <c r="B396" t="s">
        <v>1109</v>
      </c>
      <c r="C396" t="s">
        <v>49</v>
      </c>
      <c r="D396" t="str">
        <f>IFERROR(VLOOKUP($C$396,'Tantárgyi adatok'!B:D,2,FALSE),"nincs")</f>
        <v>Szakdolgozat</v>
      </c>
      <c r="E396" t="str">
        <f>IFERROR(VLOOKUP($C$396,'Tantárgyi adatok'!B:D,3,FALSE),"nincs")</f>
        <v>Mérnökinformatikus</v>
      </c>
      <c r="F396" t="s">
        <v>1318</v>
      </c>
      <c r="H396" t="s">
        <v>1110</v>
      </c>
    </row>
    <row r="397" spans="1:8" x14ac:dyDescent="0.25">
      <c r="A397" t="s">
        <v>1111</v>
      </c>
      <c r="B397" t="s">
        <v>1112</v>
      </c>
      <c r="C397" t="s">
        <v>49</v>
      </c>
      <c r="D397" t="str">
        <f>IFERROR(VLOOKUP($C$397,'Tantárgyi adatok'!B:D,2,FALSE),"nincs")</f>
        <v>Szakdolgozat</v>
      </c>
      <c r="E397" t="str">
        <f>IFERROR(VLOOKUP($C$397,'Tantárgyi adatok'!B:D,3,FALSE),"nincs")</f>
        <v>Mérnökinformatikus</v>
      </c>
      <c r="F397" t="s">
        <v>1338</v>
      </c>
      <c r="H397" t="s">
        <v>1113</v>
      </c>
    </row>
    <row r="398" spans="1:8" x14ac:dyDescent="0.25">
      <c r="A398" t="s">
        <v>1114</v>
      </c>
      <c r="B398" t="s">
        <v>1115</v>
      </c>
      <c r="C398" t="s">
        <v>49</v>
      </c>
      <c r="D398" t="str">
        <f>IFERROR(VLOOKUP($C$398,'Tantárgyi adatok'!B:D,2,FALSE),"nincs")</f>
        <v>Szakdolgozat</v>
      </c>
      <c r="E398" t="str">
        <f>IFERROR(VLOOKUP($C$398,'Tantárgyi adatok'!B:D,3,FALSE),"nincs")</f>
        <v>Mérnökinformatikus</v>
      </c>
      <c r="F398" t="s">
        <v>444</v>
      </c>
      <c r="H398" t="s">
        <v>1116</v>
      </c>
    </row>
    <row r="399" spans="1:8" x14ac:dyDescent="0.25">
      <c r="A399" t="s">
        <v>1117</v>
      </c>
      <c r="B399" t="s">
        <v>1118</v>
      </c>
      <c r="C399" t="s">
        <v>49</v>
      </c>
      <c r="D399" t="str">
        <f>IFERROR(VLOOKUP($C$399,'Tantárgyi adatok'!B:D,2,FALSE),"nincs")</f>
        <v>Szakdolgozat</v>
      </c>
      <c r="E399" t="str">
        <f>IFERROR(VLOOKUP($C$399,'Tantárgyi adatok'!B:D,3,FALSE),"nincs")</f>
        <v>Mérnökinformatikus</v>
      </c>
      <c r="F399" t="s">
        <v>1316</v>
      </c>
      <c r="H399" t="s">
        <v>1119</v>
      </c>
    </row>
    <row r="400" spans="1:8" x14ac:dyDescent="0.25">
      <c r="A400" t="s">
        <v>1120</v>
      </c>
      <c r="B400" t="s">
        <v>1121</v>
      </c>
      <c r="C400" t="s">
        <v>49</v>
      </c>
      <c r="D400" t="str">
        <f>IFERROR(VLOOKUP($C$400,'Tantárgyi adatok'!B:D,2,FALSE),"nincs")</f>
        <v>Szakdolgozat</v>
      </c>
      <c r="E400" t="str">
        <f>IFERROR(VLOOKUP($C$400,'Tantárgyi adatok'!B:D,3,FALSE),"nincs")</f>
        <v>Mérnökinformatikus</v>
      </c>
      <c r="F400" t="s">
        <v>1332</v>
      </c>
      <c r="H400" t="s">
        <v>1122</v>
      </c>
    </row>
    <row r="401" spans="1:8" x14ac:dyDescent="0.25">
      <c r="A401" t="s">
        <v>1123</v>
      </c>
      <c r="B401" t="s">
        <v>1124</v>
      </c>
      <c r="C401" t="s">
        <v>49</v>
      </c>
      <c r="D401" t="str">
        <f>IFERROR(VLOOKUP($C$401,'Tantárgyi adatok'!B:D,2,FALSE),"nincs")</f>
        <v>Szakdolgozat</v>
      </c>
      <c r="E401" t="str">
        <f>IFERROR(VLOOKUP($C$401,'Tantárgyi adatok'!B:D,3,FALSE),"nincs")</f>
        <v>Mérnökinformatikus</v>
      </c>
      <c r="F401" t="s">
        <v>1341</v>
      </c>
      <c r="H401" t="s">
        <v>1125</v>
      </c>
    </row>
    <row r="402" spans="1:8" x14ac:dyDescent="0.25">
      <c r="A402" t="s">
        <v>1126</v>
      </c>
      <c r="B402" t="s">
        <v>1127</v>
      </c>
      <c r="C402" t="s">
        <v>49</v>
      </c>
      <c r="D402" t="str">
        <f>IFERROR(VLOOKUP($C$402,'Tantárgyi adatok'!B:D,2,FALSE),"nincs")</f>
        <v>Szakdolgozat</v>
      </c>
      <c r="E402" t="str">
        <f>IFERROR(VLOOKUP($C$402,'Tantárgyi adatok'!B:D,3,FALSE),"nincs")</f>
        <v>Mérnökinformatikus</v>
      </c>
      <c r="F402" t="s">
        <v>1327</v>
      </c>
      <c r="H402" t="s">
        <v>1128</v>
      </c>
    </row>
    <row r="403" spans="1:8" x14ac:dyDescent="0.25">
      <c r="A403" t="s">
        <v>1129</v>
      </c>
      <c r="B403" t="s">
        <v>1130</v>
      </c>
      <c r="C403" t="s">
        <v>49</v>
      </c>
      <c r="D403" t="str">
        <f>IFERROR(VLOOKUP($C$403,'Tantárgyi adatok'!B:D,2,FALSE),"nincs")</f>
        <v>Szakdolgozat</v>
      </c>
      <c r="E403" t="str">
        <f>IFERROR(VLOOKUP($C$403,'Tantárgyi adatok'!B:D,3,FALSE),"nincs")</f>
        <v>Mérnökinformatikus</v>
      </c>
      <c r="F403" t="s">
        <v>1338</v>
      </c>
      <c r="H403" t="s">
        <v>1131</v>
      </c>
    </row>
    <row r="404" spans="1:8" x14ac:dyDescent="0.25">
      <c r="A404" t="s">
        <v>1132</v>
      </c>
      <c r="B404" t="s">
        <v>1133</v>
      </c>
      <c r="C404" t="s">
        <v>49</v>
      </c>
      <c r="D404" t="str">
        <f>IFERROR(VLOOKUP($C$404,'Tantárgyi adatok'!B:D,2,FALSE),"nincs")</f>
        <v>Szakdolgozat</v>
      </c>
      <c r="E404" t="str">
        <f>IFERROR(VLOOKUP($C$404,'Tantárgyi adatok'!B:D,3,FALSE),"nincs")</f>
        <v>Mérnökinformatikus</v>
      </c>
      <c r="F404" t="s">
        <v>1345</v>
      </c>
      <c r="H404" t="s">
        <v>1134</v>
      </c>
    </row>
    <row r="405" spans="1:8" x14ac:dyDescent="0.25">
      <c r="A405" t="s">
        <v>1135</v>
      </c>
      <c r="B405" t="s">
        <v>1136</v>
      </c>
      <c r="C405" t="s">
        <v>49</v>
      </c>
      <c r="D405" t="str">
        <f>IFERROR(VLOOKUP($C$405,'Tantárgyi adatok'!B:D,2,FALSE),"nincs")</f>
        <v>Szakdolgozat</v>
      </c>
      <c r="E405" t="str">
        <f>IFERROR(VLOOKUP($C$405,'Tantárgyi adatok'!B:D,3,FALSE),"nincs")</f>
        <v>Mérnökinformatikus</v>
      </c>
      <c r="F405" t="s">
        <v>1327</v>
      </c>
      <c r="H405" t="s">
        <v>1137</v>
      </c>
    </row>
    <row r="406" spans="1:8" x14ac:dyDescent="0.25">
      <c r="A406" t="s">
        <v>1138</v>
      </c>
      <c r="B406" t="s">
        <v>1139</v>
      </c>
      <c r="C406" t="s">
        <v>49</v>
      </c>
      <c r="D406" t="str">
        <f>IFERROR(VLOOKUP($C$406,'Tantárgyi adatok'!B:D,2,FALSE),"nincs")</f>
        <v>Szakdolgozat</v>
      </c>
      <c r="E406" t="str">
        <f>IFERROR(VLOOKUP($C$406,'Tantárgyi adatok'!B:D,3,FALSE),"nincs")</f>
        <v>Mérnökinformatikus</v>
      </c>
      <c r="F406" t="s">
        <v>1332</v>
      </c>
      <c r="H406" t="s">
        <v>1140</v>
      </c>
    </row>
    <row r="407" spans="1:8" x14ac:dyDescent="0.25">
      <c r="A407" t="s">
        <v>1141</v>
      </c>
      <c r="B407" t="s">
        <v>1142</v>
      </c>
      <c r="C407" t="s">
        <v>49</v>
      </c>
      <c r="D407" t="str">
        <f>IFERROR(VLOOKUP($C$407,'Tantárgyi adatok'!B:D,2,FALSE),"nincs")</f>
        <v>Szakdolgozat</v>
      </c>
      <c r="E407" t="str">
        <f>IFERROR(VLOOKUP($C$407,'Tantárgyi adatok'!B:D,3,FALSE),"nincs")</f>
        <v>Mérnökinformatikus</v>
      </c>
      <c r="F407" t="s">
        <v>1321</v>
      </c>
      <c r="H407" t="s">
        <v>1143</v>
      </c>
    </row>
    <row r="408" spans="1:8" x14ac:dyDescent="0.25">
      <c r="A408" t="s">
        <v>1144</v>
      </c>
      <c r="B408" t="s">
        <v>1145</v>
      </c>
      <c r="C408" t="s">
        <v>49</v>
      </c>
      <c r="D408" t="str">
        <f>IFERROR(VLOOKUP($C$408,'Tantárgyi adatok'!B:D,2,FALSE),"nincs")</f>
        <v>Szakdolgozat</v>
      </c>
      <c r="E408" t="str">
        <f>IFERROR(VLOOKUP($C$408,'Tantárgyi adatok'!B:D,3,FALSE),"nincs")</f>
        <v>Mérnökinformatikus</v>
      </c>
      <c r="F408" t="s">
        <v>1375</v>
      </c>
      <c r="H408" t="s">
        <v>1146</v>
      </c>
    </row>
    <row r="409" spans="1:8" x14ac:dyDescent="0.25">
      <c r="A409" t="s">
        <v>1147</v>
      </c>
      <c r="B409" t="s">
        <v>1148</v>
      </c>
      <c r="C409" t="s">
        <v>49</v>
      </c>
      <c r="D409" t="str">
        <f>IFERROR(VLOOKUP($C$409,'Tantárgyi adatok'!B:D,2,FALSE),"nincs")</f>
        <v>Szakdolgozat</v>
      </c>
      <c r="E409" t="str">
        <f>IFERROR(VLOOKUP($C$409,'Tantárgyi adatok'!B:D,3,FALSE),"nincs")</f>
        <v>Mérnökinformatikus</v>
      </c>
      <c r="F409" t="s">
        <v>1338</v>
      </c>
      <c r="H409" t="s">
        <v>1149</v>
      </c>
    </row>
    <row r="410" spans="1:8" x14ac:dyDescent="0.25">
      <c r="A410" t="s">
        <v>1150</v>
      </c>
      <c r="B410" t="s">
        <v>1151</v>
      </c>
      <c r="C410" t="s">
        <v>49</v>
      </c>
      <c r="D410" t="str">
        <f>IFERROR(VLOOKUP($C$410,'Tantárgyi adatok'!B:D,2,FALSE),"nincs")</f>
        <v>Szakdolgozat</v>
      </c>
      <c r="E410" t="str">
        <f>IFERROR(VLOOKUP($C$410,'Tantárgyi adatok'!B:D,3,FALSE),"nincs")</f>
        <v>Mérnökinformatikus</v>
      </c>
      <c r="F410" t="s">
        <v>1345</v>
      </c>
      <c r="H410" t="s">
        <v>1152</v>
      </c>
    </row>
    <row r="411" spans="1:8" x14ac:dyDescent="0.25">
      <c r="A411" t="s">
        <v>1153</v>
      </c>
      <c r="B411" t="s">
        <v>1154</v>
      </c>
      <c r="C411" t="s">
        <v>49</v>
      </c>
      <c r="D411" t="str">
        <f>IFERROR(VLOOKUP($C$411,'Tantárgyi adatok'!B:D,2,FALSE),"nincs")</f>
        <v>Szakdolgozat</v>
      </c>
      <c r="E411" t="str">
        <f>IFERROR(VLOOKUP($C$411,'Tantárgyi adatok'!B:D,3,FALSE),"nincs")</f>
        <v>Mérnökinformatikus</v>
      </c>
      <c r="F411" t="s">
        <v>1355</v>
      </c>
      <c r="H411" t="s">
        <v>1155</v>
      </c>
    </row>
    <row r="412" spans="1:8" x14ac:dyDescent="0.25">
      <c r="A412" t="s">
        <v>1156</v>
      </c>
      <c r="B412" t="s">
        <v>1157</v>
      </c>
      <c r="C412" t="s">
        <v>49</v>
      </c>
      <c r="D412" t="str">
        <f>IFERROR(VLOOKUP($C$412,'Tantárgyi adatok'!B:D,2,FALSE),"nincs")</f>
        <v>Szakdolgozat</v>
      </c>
      <c r="E412" t="str">
        <f>IFERROR(VLOOKUP($C$412,'Tantárgyi adatok'!B:D,3,FALSE),"nincs")</f>
        <v>Mérnökinformatikus</v>
      </c>
      <c r="F412" t="s">
        <v>1316</v>
      </c>
      <c r="H412" t="s">
        <v>1158</v>
      </c>
    </row>
    <row r="413" spans="1:8" x14ac:dyDescent="0.25">
      <c r="A413" t="s">
        <v>1159</v>
      </c>
      <c r="B413" t="s">
        <v>1160</v>
      </c>
      <c r="C413" t="s">
        <v>49</v>
      </c>
      <c r="D413" t="str">
        <f>IFERROR(VLOOKUP($C$413,'Tantárgyi adatok'!B:D,2,FALSE),"nincs")</f>
        <v>Szakdolgozat</v>
      </c>
      <c r="E413" t="str">
        <f>IFERROR(VLOOKUP($C$413,'Tantárgyi adatok'!B:D,3,FALSE),"nincs")</f>
        <v>Mérnökinformatikus</v>
      </c>
      <c r="F413" t="s">
        <v>1108</v>
      </c>
      <c r="H413" t="s">
        <v>1161</v>
      </c>
    </row>
    <row r="414" spans="1:8" x14ac:dyDescent="0.25">
      <c r="A414" t="s">
        <v>1162</v>
      </c>
      <c r="B414" t="s">
        <v>1163</v>
      </c>
      <c r="C414" t="s">
        <v>49</v>
      </c>
      <c r="D414" t="str">
        <f>IFERROR(VLOOKUP($C$414,'Tantárgyi adatok'!B:D,2,FALSE),"nincs")</f>
        <v>Szakdolgozat</v>
      </c>
      <c r="E414" t="str">
        <f>IFERROR(VLOOKUP($C$414,'Tantárgyi adatok'!B:D,3,FALSE),"nincs")</f>
        <v>Mérnökinformatikus</v>
      </c>
      <c r="F414" t="s">
        <v>1341</v>
      </c>
      <c r="H414" t="s">
        <v>1164</v>
      </c>
    </row>
    <row r="415" spans="1:8" x14ac:dyDescent="0.25">
      <c r="A415" t="s">
        <v>1165</v>
      </c>
      <c r="B415" t="s">
        <v>1166</v>
      </c>
      <c r="C415" t="s">
        <v>49</v>
      </c>
      <c r="D415" t="str">
        <f>IFERROR(VLOOKUP($C$415,'Tantárgyi adatok'!B:D,2,FALSE),"nincs")</f>
        <v>Szakdolgozat</v>
      </c>
      <c r="E415" t="str">
        <f>IFERROR(VLOOKUP($C$415,'Tantárgyi adatok'!B:D,3,FALSE),"nincs")</f>
        <v>Mérnökinformatikus</v>
      </c>
      <c r="F415" t="s">
        <v>1316</v>
      </c>
      <c r="H415" t="s">
        <v>1167</v>
      </c>
    </row>
    <row r="416" spans="1:8" x14ac:dyDescent="0.25">
      <c r="A416" t="s">
        <v>1168</v>
      </c>
      <c r="B416" t="s">
        <v>1169</v>
      </c>
      <c r="C416" t="s">
        <v>49</v>
      </c>
      <c r="D416" t="str">
        <f>IFERROR(VLOOKUP($C$416,'Tantárgyi adatok'!B:D,2,FALSE),"nincs")</f>
        <v>Szakdolgozat</v>
      </c>
      <c r="E416" t="str">
        <f>IFERROR(VLOOKUP($C$416,'Tantárgyi adatok'!B:D,3,FALSE),"nincs")</f>
        <v>Mérnökinformatikus</v>
      </c>
      <c r="F416" t="s">
        <v>1108</v>
      </c>
      <c r="H416" t="s">
        <v>1170</v>
      </c>
    </row>
    <row r="417" spans="1:8" x14ac:dyDescent="0.25">
      <c r="A417" t="s">
        <v>1171</v>
      </c>
      <c r="B417" t="s">
        <v>1172</v>
      </c>
      <c r="C417" t="s">
        <v>49</v>
      </c>
      <c r="D417" t="str">
        <f>IFERROR(VLOOKUP($C$417,'Tantárgyi adatok'!B:D,2,FALSE),"nincs")</f>
        <v>Szakdolgozat</v>
      </c>
      <c r="E417" t="str">
        <f>IFERROR(VLOOKUP($C$417,'Tantárgyi adatok'!B:D,3,FALSE),"nincs")</f>
        <v>Mérnökinformatikus</v>
      </c>
      <c r="F417" t="s">
        <v>1316</v>
      </c>
      <c r="H417" t="s">
        <v>1173</v>
      </c>
    </row>
    <row r="418" spans="1:8" x14ac:dyDescent="0.25">
      <c r="A418" t="s">
        <v>1174</v>
      </c>
      <c r="B418" t="s">
        <v>1175</v>
      </c>
      <c r="C418" t="s">
        <v>49</v>
      </c>
      <c r="D418" t="str">
        <f>IFERROR(VLOOKUP($C$418,'Tantárgyi adatok'!B:D,2,FALSE),"nincs")</f>
        <v>Szakdolgozat</v>
      </c>
      <c r="E418" t="str">
        <f>IFERROR(VLOOKUP($C$418,'Tantárgyi adatok'!B:D,3,FALSE),"nincs")</f>
        <v>Mérnökinformatikus</v>
      </c>
      <c r="F418" t="s">
        <v>1317</v>
      </c>
      <c r="H418" t="s">
        <v>1176</v>
      </c>
    </row>
    <row r="419" spans="1:8" x14ac:dyDescent="0.25">
      <c r="A419" t="s">
        <v>1177</v>
      </c>
      <c r="B419" t="s">
        <v>1178</v>
      </c>
      <c r="C419" t="s">
        <v>49</v>
      </c>
      <c r="D419" t="str">
        <f>IFERROR(VLOOKUP($C$419,'Tantárgyi adatok'!B:D,2,FALSE),"nincs")</f>
        <v>Szakdolgozat</v>
      </c>
      <c r="E419" t="str">
        <f>IFERROR(VLOOKUP($C$419,'Tantárgyi adatok'!B:D,3,FALSE),"nincs")</f>
        <v>Mérnökinformatikus</v>
      </c>
      <c r="F419" t="s">
        <v>1317</v>
      </c>
      <c r="H419" t="s">
        <v>1179</v>
      </c>
    </row>
    <row r="420" spans="1:8" x14ac:dyDescent="0.25">
      <c r="A420" t="s">
        <v>1180</v>
      </c>
      <c r="B420" t="s">
        <v>1181</v>
      </c>
      <c r="C420" t="s">
        <v>49</v>
      </c>
      <c r="D420" t="str">
        <f>IFERROR(VLOOKUP($C$420,'Tantárgyi adatok'!B:D,2,FALSE),"nincs")</f>
        <v>Szakdolgozat</v>
      </c>
      <c r="E420" t="str">
        <f>IFERROR(VLOOKUP($C$420,'Tantárgyi adatok'!B:D,3,FALSE),"nincs")</f>
        <v>Mérnökinformatikus</v>
      </c>
      <c r="F420" t="s">
        <v>1316</v>
      </c>
      <c r="H420" t="s">
        <v>1182</v>
      </c>
    </row>
    <row r="421" spans="1:8" x14ac:dyDescent="0.25">
      <c r="A421" t="s">
        <v>1183</v>
      </c>
      <c r="B421" t="s">
        <v>1184</v>
      </c>
      <c r="C421" t="s">
        <v>49</v>
      </c>
      <c r="D421" t="str">
        <f>IFERROR(VLOOKUP($C$421,'Tantárgyi adatok'!B:D,2,FALSE),"nincs")</f>
        <v>Szakdolgozat</v>
      </c>
      <c r="E421" t="str">
        <f>IFERROR(VLOOKUP($C$421,'Tantárgyi adatok'!B:D,3,FALSE),"nincs")</f>
        <v>Mérnökinformatikus</v>
      </c>
      <c r="F421" t="s">
        <v>63</v>
      </c>
      <c r="H421" t="s">
        <v>1185</v>
      </c>
    </row>
    <row r="422" spans="1:8" x14ac:dyDescent="0.25">
      <c r="A422" t="s">
        <v>1186</v>
      </c>
      <c r="B422" t="s">
        <v>1187</v>
      </c>
      <c r="C422" t="s">
        <v>49</v>
      </c>
      <c r="D422" t="str">
        <f>IFERROR(VLOOKUP($C$422,'Tantárgyi adatok'!B:D,2,FALSE),"nincs")</f>
        <v>Szakdolgozat</v>
      </c>
      <c r="E422" t="str">
        <f>IFERROR(VLOOKUP($C$422,'Tantárgyi adatok'!B:D,3,FALSE),"nincs")</f>
        <v>Mérnökinformatikus</v>
      </c>
      <c r="F422" t="s">
        <v>1326</v>
      </c>
      <c r="H422" t="s">
        <v>1188</v>
      </c>
    </row>
    <row r="423" spans="1:8" x14ac:dyDescent="0.25">
      <c r="A423" t="s">
        <v>1189</v>
      </c>
      <c r="B423" t="s">
        <v>1190</v>
      </c>
      <c r="C423" t="s">
        <v>49</v>
      </c>
      <c r="D423" t="str">
        <f>IFERROR(VLOOKUP($C$423,'Tantárgyi adatok'!B:D,2,FALSE),"nincs")</f>
        <v>Szakdolgozat</v>
      </c>
      <c r="E423" t="str">
        <f>IFERROR(VLOOKUP($C$423,'Tantárgyi adatok'!B:D,3,FALSE),"nincs")</f>
        <v>Mérnökinformatikus</v>
      </c>
      <c r="F423" t="s">
        <v>1345</v>
      </c>
      <c r="H423" t="s">
        <v>1191</v>
      </c>
    </row>
    <row r="424" spans="1:8" x14ac:dyDescent="0.25">
      <c r="A424" t="s">
        <v>1192</v>
      </c>
      <c r="B424" t="s">
        <v>1193</v>
      </c>
      <c r="C424" t="s">
        <v>49</v>
      </c>
      <c r="D424" t="str">
        <f>IFERROR(VLOOKUP($C$424,'Tantárgyi adatok'!B:D,2,FALSE),"nincs")</f>
        <v>Szakdolgozat</v>
      </c>
      <c r="E424" t="str">
        <f>IFERROR(VLOOKUP($C$424,'Tantárgyi adatok'!B:D,3,FALSE),"nincs")</f>
        <v>Mérnökinformatikus</v>
      </c>
      <c r="F424" t="s">
        <v>1108</v>
      </c>
      <c r="H424" t="s">
        <v>1194</v>
      </c>
    </row>
    <row r="425" spans="1:8" x14ac:dyDescent="0.25">
      <c r="A425" t="s">
        <v>1195</v>
      </c>
      <c r="B425" t="s">
        <v>1196</v>
      </c>
      <c r="C425" t="s">
        <v>49</v>
      </c>
      <c r="D425" t="str">
        <f>IFERROR(VLOOKUP($C$425,'Tantárgyi adatok'!B:D,2,FALSE),"nincs")</f>
        <v>Szakdolgozat</v>
      </c>
      <c r="E425" t="str">
        <f>IFERROR(VLOOKUP($C$425,'Tantárgyi adatok'!B:D,3,FALSE),"nincs")</f>
        <v>Mérnökinformatikus</v>
      </c>
      <c r="F425" t="s">
        <v>1321</v>
      </c>
      <c r="H425" t="s">
        <v>1197</v>
      </c>
    </row>
    <row r="426" spans="1:8" x14ac:dyDescent="0.25">
      <c r="A426" t="s">
        <v>1198</v>
      </c>
      <c r="B426" t="s">
        <v>1199</v>
      </c>
      <c r="C426" t="s">
        <v>49</v>
      </c>
      <c r="D426" t="str">
        <f>IFERROR(VLOOKUP($C$426,'Tantárgyi adatok'!B:D,2,FALSE),"nincs")</f>
        <v>Szakdolgozat</v>
      </c>
      <c r="E426" t="str">
        <f>IFERROR(VLOOKUP($C$426,'Tantárgyi adatok'!B:D,3,FALSE),"nincs")</f>
        <v>Mérnökinformatikus</v>
      </c>
      <c r="F426" t="s">
        <v>1349</v>
      </c>
      <c r="H426" t="s">
        <v>1200</v>
      </c>
    </row>
    <row r="427" spans="1:8" x14ac:dyDescent="0.25">
      <c r="A427" t="s">
        <v>1201</v>
      </c>
      <c r="B427" t="s">
        <v>1202</v>
      </c>
      <c r="C427" t="s">
        <v>49</v>
      </c>
      <c r="D427" t="str">
        <f>IFERROR(VLOOKUP($C$427,'Tantárgyi adatok'!B:D,2,FALSE),"nincs")</f>
        <v>Szakdolgozat</v>
      </c>
      <c r="E427" t="str">
        <f>IFERROR(VLOOKUP($C$427,'Tantárgyi adatok'!B:D,3,FALSE),"nincs")</f>
        <v>Mérnökinformatikus</v>
      </c>
      <c r="F427" t="s">
        <v>1316</v>
      </c>
      <c r="H427" t="s">
        <v>1203</v>
      </c>
    </row>
    <row r="428" spans="1:8" x14ac:dyDescent="0.25">
      <c r="A428" t="s">
        <v>1204</v>
      </c>
      <c r="B428" t="s">
        <v>1205</v>
      </c>
      <c r="C428" t="s">
        <v>49</v>
      </c>
      <c r="D428" t="str">
        <f>IFERROR(VLOOKUP($C$428,'Tantárgyi adatok'!B:D,2,FALSE),"nincs")</f>
        <v>Szakdolgozat</v>
      </c>
      <c r="E428" t="str">
        <f>IFERROR(VLOOKUP($C$428,'Tantárgyi adatok'!B:D,3,FALSE),"nincs")</f>
        <v>Mérnökinformatikus</v>
      </c>
      <c r="F428" t="s">
        <v>1315</v>
      </c>
      <c r="H428" t="s">
        <v>1206</v>
      </c>
    </row>
    <row r="429" spans="1:8" x14ac:dyDescent="0.25">
      <c r="A429" t="s">
        <v>1207</v>
      </c>
      <c r="B429" t="s">
        <v>1208</v>
      </c>
      <c r="C429" t="s">
        <v>49</v>
      </c>
      <c r="D429" t="str">
        <f>IFERROR(VLOOKUP($C$429,'Tantárgyi adatok'!B:D,2,FALSE),"nincs")</f>
        <v>Szakdolgozat</v>
      </c>
      <c r="E429" t="str">
        <f>IFERROR(VLOOKUP($C$429,'Tantárgyi adatok'!B:D,3,FALSE),"nincs")</f>
        <v>Mérnökinformatikus</v>
      </c>
      <c r="F429" t="s">
        <v>1315</v>
      </c>
      <c r="H429" t="s">
        <v>1209</v>
      </c>
    </row>
    <row r="430" spans="1:8" x14ac:dyDescent="0.25">
      <c r="A430" t="s">
        <v>1210</v>
      </c>
      <c r="B430" t="s">
        <v>1211</v>
      </c>
      <c r="C430" t="s">
        <v>49</v>
      </c>
      <c r="D430" t="str">
        <f>IFERROR(VLOOKUP($C$430,'Tantárgyi adatok'!B:D,2,FALSE),"nincs")</f>
        <v>Szakdolgozat</v>
      </c>
      <c r="E430" t="str">
        <f>IFERROR(VLOOKUP($C$430,'Tantárgyi adatok'!B:D,3,FALSE),"nincs")</f>
        <v>Mérnökinformatikus</v>
      </c>
      <c r="F430" t="s">
        <v>1316</v>
      </c>
      <c r="H430" t="s">
        <v>1212</v>
      </c>
    </row>
    <row r="431" spans="1:8" x14ac:dyDescent="0.25">
      <c r="A431" t="s">
        <v>1213</v>
      </c>
      <c r="B431" t="s">
        <v>1214</v>
      </c>
      <c r="C431" t="s">
        <v>49</v>
      </c>
      <c r="D431" t="str">
        <f>IFERROR(VLOOKUP($C$431,'Tantárgyi adatok'!B:D,2,FALSE),"nincs")</f>
        <v>Szakdolgozat</v>
      </c>
      <c r="E431" t="str">
        <f>IFERROR(VLOOKUP($C$431,'Tantárgyi adatok'!B:D,3,FALSE),"nincs")</f>
        <v>Mérnökinformatikus</v>
      </c>
      <c r="F431" t="s">
        <v>1328</v>
      </c>
      <c r="H431" t="s">
        <v>1215</v>
      </c>
    </row>
    <row r="432" spans="1:8" x14ac:dyDescent="0.25">
      <c r="A432" t="s">
        <v>1216</v>
      </c>
      <c r="B432" t="s">
        <v>1217</v>
      </c>
      <c r="C432" t="s">
        <v>49</v>
      </c>
      <c r="D432" t="str">
        <f>IFERROR(VLOOKUP($C$432,'Tantárgyi adatok'!B:D,2,FALSE),"nincs")</f>
        <v>Szakdolgozat</v>
      </c>
      <c r="E432" t="str">
        <f>IFERROR(VLOOKUP($C$432,'Tantárgyi adatok'!B:D,3,FALSE),"nincs")</f>
        <v>Mérnökinformatikus</v>
      </c>
      <c r="F432" t="s">
        <v>1319</v>
      </c>
      <c r="H432" t="s">
        <v>1218</v>
      </c>
    </row>
    <row r="433" spans="1:8" x14ac:dyDescent="0.25">
      <c r="A433" t="s">
        <v>1219</v>
      </c>
      <c r="B433" t="s">
        <v>1220</v>
      </c>
      <c r="C433" t="s">
        <v>49</v>
      </c>
      <c r="D433" t="str">
        <f>IFERROR(VLOOKUP($C$433,'Tantárgyi adatok'!B:D,2,FALSE),"nincs")</f>
        <v>Szakdolgozat</v>
      </c>
      <c r="E433" t="str">
        <f>IFERROR(VLOOKUP($C$433,'Tantárgyi adatok'!B:D,3,FALSE),"nincs")</f>
        <v>Mérnökinformatikus</v>
      </c>
      <c r="F433" t="s">
        <v>1340</v>
      </c>
      <c r="H433" t="s">
        <v>1221</v>
      </c>
    </row>
    <row r="434" spans="1:8" x14ac:dyDescent="0.25">
      <c r="A434" t="s">
        <v>1222</v>
      </c>
      <c r="B434" t="s">
        <v>1223</v>
      </c>
      <c r="C434" t="s">
        <v>49</v>
      </c>
      <c r="D434" t="str">
        <f>IFERROR(VLOOKUP($C$434,'Tantárgyi adatok'!B:D,2,FALSE),"nincs")</f>
        <v>Szakdolgozat</v>
      </c>
      <c r="E434" t="str">
        <f>IFERROR(VLOOKUP($C$434,'Tantárgyi adatok'!B:D,3,FALSE),"nincs")</f>
        <v>Mérnökinformatikus</v>
      </c>
      <c r="F434" t="s">
        <v>1316</v>
      </c>
      <c r="H434" t="s">
        <v>1224</v>
      </c>
    </row>
    <row r="435" spans="1:8" x14ac:dyDescent="0.25">
      <c r="A435" t="s">
        <v>1225</v>
      </c>
      <c r="B435" t="s">
        <v>1226</v>
      </c>
      <c r="C435" t="s">
        <v>49</v>
      </c>
      <c r="D435" t="str">
        <f>IFERROR(VLOOKUP($C$435,'Tantárgyi adatok'!B:D,2,FALSE),"nincs")</f>
        <v>Szakdolgozat</v>
      </c>
      <c r="E435" t="str">
        <f>IFERROR(VLOOKUP($C$435,'Tantárgyi adatok'!B:D,3,FALSE),"nincs")</f>
        <v>Mérnökinformatikus</v>
      </c>
      <c r="F435" t="s">
        <v>1316</v>
      </c>
      <c r="H435" t="s">
        <v>1227</v>
      </c>
    </row>
    <row r="436" spans="1:8" x14ac:dyDescent="0.25">
      <c r="A436" t="s">
        <v>1228</v>
      </c>
      <c r="B436" t="s">
        <v>1229</v>
      </c>
      <c r="C436" t="s">
        <v>49</v>
      </c>
      <c r="D436" t="str">
        <f>IFERROR(VLOOKUP($C$436,'Tantárgyi adatok'!B:D,2,FALSE),"nincs")</f>
        <v>Szakdolgozat</v>
      </c>
      <c r="E436" t="str">
        <f>IFERROR(VLOOKUP($C$436,'Tantárgyi adatok'!B:D,3,FALSE),"nincs")</f>
        <v>Mérnökinformatikus</v>
      </c>
      <c r="F436" t="s">
        <v>1349</v>
      </c>
      <c r="H436" t="s">
        <v>1230</v>
      </c>
    </row>
    <row r="437" spans="1:8" x14ac:dyDescent="0.25">
      <c r="A437" t="s">
        <v>1231</v>
      </c>
      <c r="B437" t="s">
        <v>1232</v>
      </c>
      <c r="C437" t="s">
        <v>49</v>
      </c>
      <c r="D437" t="str">
        <f>IFERROR(VLOOKUP($C$437,'Tantárgyi adatok'!B:D,2,FALSE),"nincs")</f>
        <v>Szakdolgozat</v>
      </c>
      <c r="E437" t="str">
        <f>IFERROR(VLOOKUP($C$437,'Tantárgyi adatok'!B:D,3,FALSE),"nincs")</f>
        <v>Mérnökinformatikus</v>
      </c>
      <c r="F437" t="s">
        <v>1323</v>
      </c>
      <c r="H437" t="s">
        <v>1233</v>
      </c>
    </row>
    <row r="438" spans="1:8" x14ac:dyDescent="0.25">
      <c r="A438" t="s">
        <v>1234</v>
      </c>
      <c r="B438" t="s">
        <v>1235</v>
      </c>
      <c r="C438" t="s">
        <v>49</v>
      </c>
      <c r="D438" t="str">
        <f>IFERROR(VLOOKUP($C$438,'Tantárgyi adatok'!B:D,2,FALSE),"nincs")</f>
        <v>Szakdolgozat</v>
      </c>
      <c r="E438" t="str">
        <f>IFERROR(VLOOKUP($C$438,'Tantárgyi adatok'!B:D,3,FALSE),"nincs")</f>
        <v>Mérnökinformatikus</v>
      </c>
      <c r="F438" t="s">
        <v>1319</v>
      </c>
      <c r="H438" t="s">
        <v>1236</v>
      </c>
    </row>
    <row r="439" spans="1:8" x14ac:dyDescent="0.25">
      <c r="A439" t="s">
        <v>1237</v>
      </c>
      <c r="B439" t="s">
        <v>1238</v>
      </c>
      <c r="C439" t="s">
        <v>49</v>
      </c>
      <c r="D439" t="str">
        <f>IFERROR(VLOOKUP($C$439,'Tantárgyi adatok'!B:D,2,FALSE),"nincs")</f>
        <v>Szakdolgozat</v>
      </c>
      <c r="E439" t="str">
        <f>IFERROR(VLOOKUP($C$439,'Tantárgyi adatok'!B:D,3,FALSE),"nincs")</f>
        <v>Mérnökinformatikus</v>
      </c>
      <c r="F439" t="s">
        <v>1319</v>
      </c>
      <c r="H439" t="s">
        <v>1239</v>
      </c>
    </row>
    <row r="440" spans="1:8" x14ac:dyDescent="0.25">
      <c r="A440" t="s">
        <v>1240</v>
      </c>
      <c r="B440" t="s">
        <v>1241</v>
      </c>
      <c r="C440" t="s">
        <v>49</v>
      </c>
      <c r="D440" t="str">
        <f>IFERROR(VLOOKUP($C$440,'Tantárgyi adatok'!B:D,2,FALSE),"nincs")</f>
        <v>Szakdolgozat</v>
      </c>
      <c r="E440" t="str">
        <f>IFERROR(VLOOKUP($C$440,'Tantárgyi adatok'!B:D,3,FALSE),"nincs")</f>
        <v>Mérnökinformatikus</v>
      </c>
      <c r="F440" t="s">
        <v>1318</v>
      </c>
      <c r="H440" t="s">
        <v>1242</v>
      </c>
    </row>
    <row r="441" spans="1:8" x14ac:dyDescent="0.25">
      <c r="A441" t="s">
        <v>1240</v>
      </c>
      <c r="B441" t="s">
        <v>1241</v>
      </c>
      <c r="C441" t="s">
        <v>49</v>
      </c>
      <c r="D441" t="str">
        <f>IFERROR(VLOOKUP($C$441,'Tantárgyi adatok'!B:D,2,FALSE),"nincs")</f>
        <v>Szakdolgozat</v>
      </c>
      <c r="E441" t="str">
        <f>IFERROR(VLOOKUP($C$441,'Tantárgyi adatok'!B:D,3,FALSE),"nincs")</f>
        <v>Mérnökinformatikus</v>
      </c>
      <c r="F441" t="s">
        <v>1316</v>
      </c>
      <c r="H441" t="s">
        <v>1242</v>
      </c>
    </row>
    <row r="442" spans="1:8" x14ac:dyDescent="0.25">
      <c r="A442" t="s">
        <v>1243</v>
      </c>
      <c r="B442" t="s">
        <v>1244</v>
      </c>
      <c r="C442" t="s">
        <v>49</v>
      </c>
      <c r="D442" t="str">
        <f>IFERROR(VLOOKUP($C$442,'Tantárgyi adatok'!B:D,2,FALSE),"nincs")</f>
        <v>Szakdolgozat</v>
      </c>
      <c r="E442" t="str">
        <f>IFERROR(VLOOKUP($C$442,'Tantárgyi adatok'!B:D,3,FALSE),"nincs")</f>
        <v>Mérnökinformatikus</v>
      </c>
      <c r="F442" t="s">
        <v>1108</v>
      </c>
      <c r="H442" t="s">
        <v>1245</v>
      </c>
    </row>
    <row r="443" spans="1:8" x14ac:dyDescent="0.25">
      <c r="A443" t="s">
        <v>1246</v>
      </c>
      <c r="B443" t="s">
        <v>1247</v>
      </c>
      <c r="C443" t="s">
        <v>49</v>
      </c>
      <c r="D443" t="str">
        <f>IFERROR(VLOOKUP($C$443,'Tantárgyi adatok'!B:D,2,FALSE),"nincs")</f>
        <v>Szakdolgozat</v>
      </c>
      <c r="E443" t="str">
        <f>IFERROR(VLOOKUP($C$443,'Tantárgyi adatok'!B:D,3,FALSE),"nincs")</f>
        <v>Mérnökinformatikus</v>
      </c>
      <c r="F443" t="s">
        <v>1349</v>
      </c>
      <c r="H443" t="s">
        <v>1248</v>
      </c>
    </row>
    <row r="444" spans="1:8" x14ac:dyDescent="0.25">
      <c r="A444" t="s">
        <v>1249</v>
      </c>
      <c r="B444" t="s">
        <v>1250</v>
      </c>
      <c r="C444" t="s">
        <v>49</v>
      </c>
      <c r="D444" t="str">
        <f>IFERROR(VLOOKUP($C$444,'Tantárgyi adatok'!B:D,2,FALSE),"nincs")</f>
        <v>Szakdolgozat</v>
      </c>
      <c r="E444" t="str">
        <f>IFERROR(VLOOKUP($C$444,'Tantárgyi adatok'!B:D,3,FALSE),"nincs")</f>
        <v>Mérnökinformatikus</v>
      </c>
      <c r="F444" t="s">
        <v>1316</v>
      </c>
      <c r="H444" t="s">
        <v>1251</v>
      </c>
    </row>
    <row r="445" spans="1:8" x14ac:dyDescent="0.25">
      <c r="A445" t="s">
        <v>1252</v>
      </c>
      <c r="B445" t="s">
        <v>1253</v>
      </c>
      <c r="C445" t="s">
        <v>49</v>
      </c>
      <c r="D445" t="str">
        <f>IFERROR(VLOOKUP($C$445,'Tantárgyi adatok'!B:D,2,FALSE),"nincs")</f>
        <v>Szakdolgozat</v>
      </c>
      <c r="E445" t="str">
        <f>IFERROR(VLOOKUP($C$445,'Tantárgyi adatok'!B:D,3,FALSE),"nincs")</f>
        <v>Mérnökinformatikus</v>
      </c>
      <c r="F445" t="s">
        <v>1326</v>
      </c>
      <c r="H445" t="s">
        <v>1254</v>
      </c>
    </row>
    <row r="446" spans="1:8" x14ac:dyDescent="0.25">
      <c r="A446" t="s">
        <v>1255</v>
      </c>
      <c r="B446" t="s">
        <v>1256</v>
      </c>
      <c r="C446" t="s">
        <v>49</v>
      </c>
      <c r="D446" t="str">
        <f>IFERROR(VLOOKUP($C$446,'Tantárgyi adatok'!B:D,2,FALSE),"nincs")</f>
        <v>Szakdolgozat</v>
      </c>
      <c r="E446" t="str">
        <f>IFERROR(VLOOKUP($C$446,'Tantárgyi adatok'!B:D,3,FALSE),"nincs")</f>
        <v>Mérnökinformatikus</v>
      </c>
      <c r="F446" t="s">
        <v>1317</v>
      </c>
      <c r="H446" t="s">
        <v>1257</v>
      </c>
    </row>
    <row r="447" spans="1:8" x14ac:dyDescent="0.25">
      <c r="A447" t="s">
        <v>1258</v>
      </c>
      <c r="B447" t="s">
        <v>1259</v>
      </c>
      <c r="C447" t="s">
        <v>49</v>
      </c>
      <c r="D447" t="str">
        <f>IFERROR(VLOOKUP($C$447,'Tantárgyi adatok'!B:D,2,FALSE),"nincs")</f>
        <v>Szakdolgozat</v>
      </c>
      <c r="E447" t="str">
        <f>IFERROR(VLOOKUP($C$447,'Tantárgyi adatok'!B:D,3,FALSE),"nincs")</f>
        <v>Mérnökinformatikus</v>
      </c>
      <c r="F447" t="s">
        <v>1317</v>
      </c>
      <c r="H447" t="s">
        <v>1260</v>
      </c>
    </row>
    <row r="448" spans="1:8" x14ac:dyDescent="0.25">
      <c r="A448" t="s">
        <v>1261</v>
      </c>
      <c r="B448" t="s">
        <v>1262</v>
      </c>
      <c r="C448" t="s">
        <v>49</v>
      </c>
      <c r="D448" t="str">
        <f>IFERROR(VLOOKUP($C$448,'Tantárgyi adatok'!B:D,2,FALSE),"nincs")</f>
        <v>Szakdolgozat</v>
      </c>
      <c r="E448" t="str">
        <f>IFERROR(VLOOKUP($C$448,'Tantárgyi adatok'!B:D,3,FALSE),"nincs")</f>
        <v>Mérnökinformatikus</v>
      </c>
      <c r="F448" t="s">
        <v>1373</v>
      </c>
      <c r="H448" t="s">
        <v>1263</v>
      </c>
    </row>
    <row r="449" spans="1:8" x14ac:dyDescent="0.25">
      <c r="A449" t="s">
        <v>1264</v>
      </c>
      <c r="B449" t="s">
        <v>1265</v>
      </c>
      <c r="C449" t="s">
        <v>49</v>
      </c>
      <c r="D449" t="str">
        <f>IFERROR(VLOOKUP($C$449,'Tantárgyi adatok'!B:D,2,FALSE),"nincs")</f>
        <v>Szakdolgozat</v>
      </c>
      <c r="E449" t="str">
        <f>IFERROR(VLOOKUP($C$449,'Tantárgyi adatok'!B:D,3,FALSE),"nincs")</f>
        <v>Mérnökinformatikus</v>
      </c>
      <c r="F449" t="s">
        <v>1108</v>
      </c>
      <c r="H449" t="s">
        <v>1266</v>
      </c>
    </row>
    <row r="450" spans="1:8" x14ac:dyDescent="0.25">
      <c r="A450" t="s">
        <v>1267</v>
      </c>
      <c r="B450" t="s">
        <v>1268</v>
      </c>
      <c r="C450" t="s">
        <v>49</v>
      </c>
      <c r="D450" t="str">
        <f>IFERROR(VLOOKUP($C$450,'Tantárgyi adatok'!B:D,2,FALSE),"nincs")</f>
        <v>Szakdolgozat</v>
      </c>
      <c r="E450" t="str">
        <f>IFERROR(VLOOKUP($C$450,'Tantárgyi adatok'!B:D,3,FALSE),"nincs")</f>
        <v>Mérnökinformatikus</v>
      </c>
      <c r="F450" t="s">
        <v>1320</v>
      </c>
      <c r="H450" t="s">
        <v>1269</v>
      </c>
    </row>
    <row r="451" spans="1:8" x14ac:dyDescent="0.25">
      <c r="A451" t="s">
        <v>1270</v>
      </c>
      <c r="B451" t="s">
        <v>1271</v>
      </c>
      <c r="C451" t="s">
        <v>49</v>
      </c>
      <c r="D451" t="str">
        <f>IFERROR(VLOOKUP($C$451,'Tantárgyi adatok'!B:D,2,FALSE),"nincs")</f>
        <v>Szakdolgozat</v>
      </c>
      <c r="E451" t="str">
        <f>IFERROR(VLOOKUP($C$451,'Tantárgyi adatok'!B:D,3,FALSE),"nincs")</f>
        <v>Mérnökinformatikus</v>
      </c>
      <c r="F451" t="s">
        <v>1374</v>
      </c>
      <c r="H451" t="s">
        <v>1272</v>
      </c>
    </row>
    <row r="452" spans="1:8" x14ac:dyDescent="0.25">
      <c r="A452" t="s">
        <v>1273</v>
      </c>
      <c r="B452" t="s">
        <v>1274</v>
      </c>
      <c r="C452" t="s">
        <v>49</v>
      </c>
      <c r="D452" t="str">
        <f>IFERROR(VLOOKUP($C$452,'Tantárgyi adatok'!B:D,2,FALSE),"nincs")</f>
        <v>Szakdolgozat</v>
      </c>
      <c r="E452" t="str">
        <f>IFERROR(VLOOKUP($C$452,'Tantárgyi adatok'!B:D,3,FALSE),"nincs")</f>
        <v>Mérnökinformatikus</v>
      </c>
      <c r="F452" t="s">
        <v>1342</v>
      </c>
      <c r="H452" t="s">
        <v>1275</v>
      </c>
    </row>
    <row r="453" spans="1:8" x14ac:dyDescent="0.25">
      <c r="A453" t="s">
        <v>1276</v>
      </c>
      <c r="B453" t="s">
        <v>1277</v>
      </c>
      <c r="C453" t="s">
        <v>49</v>
      </c>
      <c r="D453" t="str">
        <f>IFERROR(VLOOKUP($C$453,'Tantárgyi adatok'!B:D,2,FALSE),"nincs")</f>
        <v>Szakdolgozat</v>
      </c>
      <c r="E453" t="str">
        <f>IFERROR(VLOOKUP($C$453,'Tantárgyi adatok'!B:D,3,FALSE),"nincs")</f>
        <v>Mérnökinformatikus</v>
      </c>
      <c r="F453" t="s">
        <v>1374</v>
      </c>
      <c r="H453" t="s">
        <v>1278</v>
      </c>
    </row>
    <row r="454" spans="1:8" x14ac:dyDescent="0.25">
      <c r="A454" t="s">
        <v>1279</v>
      </c>
      <c r="B454" t="s">
        <v>1280</v>
      </c>
      <c r="C454" t="s">
        <v>49</v>
      </c>
      <c r="D454" t="str">
        <f>IFERROR(VLOOKUP($C$454,'Tantárgyi adatok'!B:D,2,FALSE),"nincs")</f>
        <v>Szakdolgozat</v>
      </c>
      <c r="E454" t="str">
        <f>IFERROR(VLOOKUP($C$454,'Tantárgyi adatok'!B:D,3,FALSE),"nincs")</f>
        <v>Mérnökinformatikus</v>
      </c>
      <c r="F454" t="s">
        <v>1374</v>
      </c>
      <c r="H454" t="s">
        <v>1281</v>
      </c>
    </row>
    <row r="455" spans="1:8" x14ac:dyDescent="0.25">
      <c r="A455" t="s">
        <v>1282</v>
      </c>
      <c r="B455" t="s">
        <v>1283</v>
      </c>
      <c r="C455" t="s">
        <v>49</v>
      </c>
      <c r="D455" t="str">
        <f>IFERROR(VLOOKUP($C$455,'Tantárgyi adatok'!B:D,2,FALSE),"nincs")</f>
        <v>Szakdolgozat</v>
      </c>
      <c r="E455" t="str">
        <f>IFERROR(VLOOKUP($C$455,'Tantárgyi adatok'!B:D,3,FALSE),"nincs")</f>
        <v>Mérnökinformatikus</v>
      </c>
      <c r="F455" t="s">
        <v>1342</v>
      </c>
      <c r="H455" t="s">
        <v>1284</v>
      </c>
    </row>
    <row r="456" spans="1:8" x14ac:dyDescent="0.25">
      <c r="A456" t="s">
        <v>1285</v>
      </c>
      <c r="B456" t="s">
        <v>1286</v>
      </c>
      <c r="C456" t="s">
        <v>49</v>
      </c>
      <c r="D456" t="str">
        <f>IFERROR(VLOOKUP($C$456,'Tantárgyi adatok'!B:D,2,FALSE),"nincs")</f>
        <v>Szakdolgozat</v>
      </c>
      <c r="E456" t="str">
        <f>IFERROR(VLOOKUP($C$456,'Tantárgyi adatok'!B:D,3,FALSE),"nincs")</f>
        <v>Mérnökinformatikus</v>
      </c>
      <c r="F456" t="s">
        <v>1342</v>
      </c>
      <c r="H456" t="s">
        <v>1287</v>
      </c>
    </row>
    <row r="457" spans="1:8" x14ac:dyDescent="0.25">
      <c r="A457" t="s">
        <v>1288</v>
      </c>
      <c r="B457" t="s">
        <v>1289</v>
      </c>
      <c r="C457" t="s">
        <v>49</v>
      </c>
      <c r="D457" t="str">
        <f>IFERROR(VLOOKUP($C$457,'Tantárgyi adatok'!B:D,2,FALSE),"nincs")</f>
        <v>Szakdolgozat</v>
      </c>
      <c r="E457" t="str">
        <f>IFERROR(VLOOKUP($C$457,'Tantárgyi adatok'!B:D,3,FALSE),"nincs")</f>
        <v>Mérnökinformatikus</v>
      </c>
      <c r="F457" t="s">
        <v>1374</v>
      </c>
      <c r="H457" t="s">
        <v>1290</v>
      </c>
    </row>
    <row r="458" spans="1:8" x14ac:dyDescent="0.25">
      <c r="A458" t="s">
        <v>1291</v>
      </c>
      <c r="B458" t="s">
        <v>1292</v>
      </c>
      <c r="C458" t="s">
        <v>49</v>
      </c>
      <c r="D458" t="str">
        <f>IFERROR(VLOOKUP($C$458,'Tantárgyi adatok'!B:D,2,FALSE),"nincs")</f>
        <v>Szakdolgozat</v>
      </c>
      <c r="E458" t="str">
        <f>IFERROR(VLOOKUP($C$458,'Tantárgyi adatok'!B:D,3,FALSE),"nincs")</f>
        <v>Mérnökinformatikus</v>
      </c>
      <c r="F458" t="s">
        <v>1319</v>
      </c>
      <c r="H458" t="s">
        <v>1293</v>
      </c>
    </row>
    <row r="459" spans="1:8" x14ac:dyDescent="0.25">
      <c r="A459" t="s">
        <v>1294</v>
      </c>
      <c r="B459" t="s">
        <v>1295</v>
      </c>
      <c r="C459" t="s">
        <v>49</v>
      </c>
      <c r="D459" t="str">
        <f>IFERROR(VLOOKUP($C$459,'Tantárgyi adatok'!B:D,2,FALSE),"nincs")</f>
        <v>Szakdolgozat</v>
      </c>
      <c r="E459" t="str">
        <f>IFERROR(VLOOKUP($C$459,'Tantárgyi adatok'!B:D,3,FALSE),"nincs")</f>
        <v>Mérnökinformatikus</v>
      </c>
      <c r="F459" t="s">
        <v>1374</v>
      </c>
      <c r="H459" t="s">
        <v>1296</v>
      </c>
    </row>
    <row r="460" spans="1:8" x14ac:dyDescent="0.25">
      <c r="A460" t="s">
        <v>1297</v>
      </c>
      <c r="B460" t="s">
        <v>1298</v>
      </c>
      <c r="C460" t="s">
        <v>49</v>
      </c>
      <c r="D460" t="str">
        <f>IFERROR(VLOOKUP($C$460,'Tantárgyi adatok'!B:D,2,FALSE),"nincs")</f>
        <v>Szakdolgozat</v>
      </c>
      <c r="E460" t="str">
        <f>IFERROR(VLOOKUP($C$460,'Tantárgyi adatok'!B:D,3,FALSE),"nincs")</f>
        <v>Mérnökinformatikus</v>
      </c>
      <c r="F460" t="s">
        <v>1374</v>
      </c>
      <c r="H460" t="s">
        <v>1299</v>
      </c>
    </row>
    <row r="461" spans="1:8" x14ac:dyDescent="0.25">
      <c r="A461" t="s">
        <v>1300</v>
      </c>
      <c r="B461" t="s">
        <v>1301</v>
      </c>
      <c r="C461" t="s">
        <v>49</v>
      </c>
      <c r="D461" t="str">
        <f>IFERROR(VLOOKUP($C$461,'Tantárgyi adatok'!B:D,2,FALSE),"nincs")</f>
        <v>Szakdolgozat</v>
      </c>
      <c r="E461" t="str">
        <f>IFERROR(VLOOKUP($C$461,'Tantárgyi adatok'!B:D,3,FALSE),"nincs")</f>
        <v>Mérnökinformatikus</v>
      </c>
      <c r="F461" t="s">
        <v>1342</v>
      </c>
      <c r="H461" t="s">
        <v>1302</v>
      </c>
    </row>
    <row r="462" spans="1:8" x14ac:dyDescent="0.25">
      <c r="A462" t="s">
        <v>1303</v>
      </c>
      <c r="B462" t="s">
        <v>1304</v>
      </c>
      <c r="C462" t="s">
        <v>49</v>
      </c>
      <c r="D462" t="str">
        <f>IFERROR(VLOOKUP($C$462,'Tantárgyi adatok'!B:D,2,FALSE),"nincs")</f>
        <v>Szakdolgozat</v>
      </c>
      <c r="E462" t="str">
        <f>IFERROR(VLOOKUP($C$462,'Tantárgyi adatok'!B:D,3,FALSE),"nincs")</f>
        <v>Mérnökinformatikus</v>
      </c>
      <c r="F462" t="s">
        <v>1342</v>
      </c>
      <c r="H462" t="s">
        <v>1305</v>
      </c>
    </row>
    <row r="463" spans="1:8" x14ac:dyDescent="0.25">
      <c r="A463" t="s">
        <v>1306</v>
      </c>
      <c r="B463" t="s">
        <v>1307</v>
      </c>
      <c r="C463" t="s">
        <v>49</v>
      </c>
      <c r="D463" t="str">
        <f>IFERROR(VLOOKUP($C$463,'Tantárgyi adatok'!B:D,2,FALSE),"nincs")</f>
        <v>Szakdolgozat</v>
      </c>
      <c r="E463" t="str">
        <f>IFERROR(VLOOKUP($C$463,'Tantárgyi adatok'!B:D,3,FALSE),"nincs")</f>
        <v>Mérnökinformatikus</v>
      </c>
      <c r="F463" t="s">
        <v>1319</v>
      </c>
      <c r="H463" t="s">
        <v>1308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B73A-E754-4766-BBD1-BF3947DED9AB}">
  <sheetPr codeName="Munka3"/>
  <dimension ref="A1:D24"/>
  <sheetViews>
    <sheetView workbookViewId="0">
      <selection activeCell="C25" sqref="C25"/>
    </sheetView>
  </sheetViews>
  <sheetFormatPr defaultRowHeight="15" x14ac:dyDescent="0.25"/>
  <cols>
    <col min="1" max="1" width="54" customWidth="1"/>
    <col min="2" max="2" width="11" customWidth="1"/>
    <col min="3" max="3" width="23.42578125" bestFit="1" customWidth="1"/>
    <col min="4" max="4" width="21.140625" bestFit="1" customWidth="1"/>
  </cols>
  <sheetData>
    <row r="1" spans="1:4" ht="16.5" thickBot="1" x14ac:dyDescent="0.3">
      <c r="A1" s="1" t="s">
        <v>0</v>
      </c>
      <c r="B1" s="1" t="s">
        <v>1</v>
      </c>
      <c r="C1" s="1" t="s">
        <v>50</v>
      </c>
      <c r="D1" s="1" t="s">
        <v>51</v>
      </c>
    </row>
    <row r="2" spans="1:4" x14ac:dyDescent="0.25">
      <c r="A2" t="s">
        <v>40</v>
      </c>
      <c r="B2" t="s">
        <v>41</v>
      </c>
      <c r="C2" t="s">
        <v>55</v>
      </c>
      <c r="D2" t="s">
        <v>54</v>
      </c>
    </row>
    <row r="3" spans="1:4" x14ac:dyDescent="0.25">
      <c r="A3" t="s">
        <v>22</v>
      </c>
      <c r="B3" t="s">
        <v>23</v>
      </c>
    </row>
    <row r="4" spans="1:4" x14ac:dyDescent="0.25">
      <c r="A4" t="s">
        <v>26</v>
      </c>
      <c r="B4" t="s">
        <v>27</v>
      </c>
    </row>
    <row r="5" spans="1:4" x14ac:dyDescent="0.25">
      <c r="A5" t="s">
        <v>24</v>
      </c>
      <c r="B5" t="s">
        <v>25</v>
      </c>
    </row>
    <row r="6" spans="1:4" x14ac:dyDescent="0.25">
      <c r="A6" t="s">
        <v>46</v>
      </c>
      <c r="B6" t="s">
        <v>47</v>
      </c>
      <c r="C6" t="s">
        <v>55</v>
      </c>
      <c r="D6" t="s">
        <v>52</v>
      </c>
    </row>
    <row r="7" spans="1:4" x14ac:dyDescent="0.25">
      <c r="A7" t="s">
        <v>44</v>
      </c>
      <c r="B7" t="s">
        <v>45</v>
      </c>
      <c r="C7" t="s">
        <v>55</v>
      </c>
      <c r="D7" t="s">
        <v>53</v>
      </c>
    </row>
    <row r="8" spans="1:4" x14ac:dyDescent="0.25">
      <c r="A8" t="s">
        <v>48</v>
      </c>
      <c r="B8" t="s">
        <v>49</v>
      </c>
      <c r="C8" t="s">
        <v>55</v>
      </c>
      <c r="D8" t="s">
        <v>52</v>
      </c>
    </row>
    <row r="9" spans="1:4" x14ac:dyDescent="0.25">
      <c r="A9" t="s">
        <v>42</v>
      </c>
      <c r="B9" t="s">
        <v>43</v>
      </c>
      <c r="C9" t="s">
        <v>55</v>
      </c>
      <c r="D9" t="s">
        <v>53</v>
      </c>
    </row>
    <row r="10" spans="1:4" x14ac:dyDescent="0.25">
      <c r="A10" t="s">
        <v>17</v>
      </c>
      <c r="B10" t="s">
        <v>18</v>
      </c>
      <c r="C10" t="s">
        <v>56</v>
      </c>
      <c r="D10" t="s">
        <v>54</v>
      </c>
    </row>
    <row r="11" spans="1:4" x14ac:dyDescent="0.25">
      <c r="A11" t="s">
        <v>19</v>
      </c>
      <c r="B11" t="s">
        <v>20</v>
      </c>
    </row>
    <row r="12" spans="1:4" x14ac:dyDescent="0.25">
      <c r="A12" t="s">
        <v>38</v>
      </c>
      <c r="B12" t="s">
        <v>39</v>
      </c>
    </row>
    <row r="13" spans="1:4" x14ac:dyDescent="0.25">
      <c r="A13" t="s">
        <v>30</v>
      </c>
      <c r="B13" t="s">
        <v>31</v>
      </c>
    </row>
    <row r="14" spans="1:4" x14ac:dyDescent="0.25">
      <c r="A14" t="s">
        <v>28</v>
      </c>
      <c r="B14" t="s">
        <v>29</v>
      </c>
    </row>
    <row r="15" spans="1:4" x14ac:dyDescent="0.25">
      <c r="A15" t="s">
        <v>34</v>
      </c>
      <c r="B15" t="s">
        <v>35</v>
      </c>
    </row>
    <row r="16" spans="1:4" x14ac:dyDescent="0.25">
      <c r="A16" t="s">
        <v>32</v>
      </c>
      <c r="B16" t="s">
        <v>33</v>
      </c>
    </row>
    <row r="17" spans="1:4" x14ac:dyDescent="0.25">
      <c r="A17" t="s">
        <v>36</v>
      </c>
      <c r="B17" t="s">
        <v>37</v>
      </c>
    </row>
    <row r="18" spans="1:4" x14ac:dyDescent="0.25">
      <c r="A18" t="s">
        <v>3</v>
      </c>
      <c r="B18" t="s">
        <v>4</v>
      </c>
      <c r="C18" t="s">
        <v>56</v>
      </c>
      <c r="D18" t="s">
        <v>52</v>
      </c>
    </row>
    <row r="19" spans="1:4" x14ac:dyDescent="0.25">
      <c r="A19" t="s">
        <v>7</v>
      </c>
      <c r="B19" t="s">
        <v>8</v>
      </c>
      <c r="C19" t="s">
        <v>56</v>
      </c>
      <c r="D19" t="s">
        <v>53</v>
      </c>
    </row>
    <row r="20" spans="1:4" x14ac:dyDescent="0.25">
      <c r="A20" t="s">
        <v>13</v>
      </c>
      <c r="B20" t="s">
        <v>14</v>
      </c>
    </row>
    <row r="21" spans="1:4" x14ac:dyDescent="0.25">
      <c r="A21" t="s">
        <v>5</v>
      </c>
      <c r="B21" t="s">
        <v>6</v>
      </c>
      <c r="C21" t="s">
        <v>56</v>
      </c>
      <c r="D21" t="s">
        <v>52</v>
      </c>
    </row>
    <row r="22" spans="1:4" x14ac:dyDescent="0.25">
      <c r="A22" t="s">
        <v>11</v>
      </c>
      <c r="B22" t="s">
        <v>12</v>
      </c>
    </row>
    <row r="23" spans="1:4" x14ac:dyDescent="0.25">
      <c r="A23" t="s">
        <v>9</v>
      </c>
      <c r="B23" t="s">
        <v>10</v>
      </c>
      <c r="C23" t="s">
        <v>56</v>
      </c>
      <c r="D23" t="s">
        <v>53</v>
      </c>
    </row>
    <row r="24" spans="1:4" x14ac:dyDescent="0.25">
      <c r="A24" t="s">
        <v>15</v>
      </c>
      <c r="B24" t="s">
        <v>16</v>
      </c>
    </row>
  </sheetData>
  <sortState xmlns:xlrd2="http://schemas.microsoft.com/office/spreadsheetml/2017/richdata2" ref="A2:B24">
    <sortCondition ref="B1:B24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C0271-932D-4CCB-94D8-9B2E78F27A62}">
  <sheetPr codeName="Munka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Útmutató</vt:lpstr>
      <vt:lpstr>GeneráltHallgatóiLista</vt:lpstr>
      <vt:lpstr>Tantárgyi adatok</vt:lpstr>
      <vt:lpstr>Beállítások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Csorba Kristóf</dc:creator>
  <cp:lastModifiedBy>Csorba Kristóf</cp:lastModifiedBy>
  <dcterms:created xsi:type="dcterms:W3CDTF">2025-09-26T08:13:19Z</dcterms:created>
  <dcterms:modified xsi:type="dcterms:W3CDTF">2025-09-26T22:24:12Z</dcterms:modified>
</cp:coreProperties>
</file>