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learning_ai\AUT_KiirasEsBiralatiSablonGeneralo\"/>
    </mc:Choice>
  </mc:AlternateContent>
  <xr:revisionPtr revIDLastSave="0" documentId="13_ncr:1_{2161D1AC-0C75-41A0-9410-98E292D9CAFE}" xr6:coauthVersionLast="47" xr6:coauthVersionMax="47" xr10:uidLastSave="{00000000-0000-0000-0000-000000000000}"/>
  <bookViews>
    <workbookView xWindow="-120" yWindow="-18120" windowWidth="29040" windowHeight="17640" activeTab="2" xr2:uid="{1DD76C52-3F59-4F1E-B750-DCFFDBCB0331}"/>
  </bookViews>
  <sheets>
    <sheet name="Útmutató" sheetId="1" r:id="rId1"/>
    <sheet name="GeneráltHallgatóiLista" sheetId="3" r:id="rId2"/>
    <sheet name="StudentsWithoutAutPortalEntry" sheetId="7" r:id="rId3"/>
    <sheet name="Tantárgyi adatok" sheetId="2" r:id="rId4"/>
    <sheet name="TemplatesAndFiles" sheetId="6" r:id="rId5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4" i="3" l="1"/>
  <c r="J284" i="3"/>
  <c r="H284" i="3"/>
  <c r="D284" i="3"/>
  <c r="K283" i="3"/>
  <c r="J283" i="3"/>
  <c r="H283" i="3"/>
  <c r="D283" i="3"/>
  <c r="K282" i="3"/>
  <c r="J282" i="3"/>
  <c r="H282" i="3"/>
  <c r="D282" i="3"/>
  <c r="K281" i="3"/>
  <c r="J281" i="3"/>
  <c r="H281" i="3"/>
  <c r="D281" i="3"/>
  <c r="K280" i="3"/>
  <c r="J280" i="3"/>
  <c r="H280" i="3"/>
  <c r="D280" i="3"/>
  <c r="K279" i="3"/>
  <c r="J279" i="3"/>
  <c r="H279" i="3"/>
  <c r="D279" i="3"/>
  <c r="K278" i="3"/>
  <c r="J278" i="3"/>
  <c r="H278" i="3"/>
  <c r="D278" i="3"/>
  <c r="K277" i="3"/>
  <c r="J277" i="3"/>
  <c r="H277" i="3"/>
  <c r="D277" i="3"/>
  <c r="K276" i="3"/>
  <c r="J276" i="3"/>
  <c r="H276" i="3"/>
  <c r="D276" i="3"/>
  <c r="K275" i="3"/>
  <c r="J275" i="3"/>
  <c r="H275" i="3"/>
  <c r="D275" i="3"/>
  <c r="K274" i="3"/>
  <c r="J274" i="3"/>
  <c r="H274" i="3"/>
  <c r="D274" i="3"/>
  <c r="K273" i="3"/>
  <c r="J273" i="3"/>
  <c r="H273" i="3"/>
  <c r="D273" i="3"/>
  <c r="K272" i="3"/>
  <c r="J272" i="3"/>
  <c r="H272" i="3"/>
  <c r="D272" i="3"/>
  <c r="K271" i="3"/>
  <c r="J271" i="3"/>
  <c r="H271" i="3"/>
  <c r="D271" i="3"/>
  <c r="K270" i="3"/>
  <c r="J270" i="3"/>
  <c r="H270" i="3"/>
  <c r="D270" i="3"/>
  <c r="K269" i="3"/>
  <c r="J269" i="3"/>
  <c r="H269" i="3"/>
  <c r="D269" i="3"/>
  <c r="K268" i="3"/>
  <c r="J268" i="3"/>
  <c r="H268" i="3"/>
  <c r="D268" i="3"/>
  <c r="K267" i="3"/>
  <c r="J267" i="3"/>
  <c r="H267" i="3"/>
  <c r="D267" i="3"/>
  <c r="K266" i="3"/>
  <c r="J266" i="3"/>
  <c r="H266" i="3"/>
  <c r="D266" i="3"/>
  <c r="K265" i="3"/>
  <c r="J265" i="3"/>
  <c r="H265" i="3"/>
  <c r="D265" i="3"/>
  <c r="K264" i="3"/>
  <c r="J264" i="3"/>
  <c r="H264" i="3"/>
  <c r="D264" i="3"/>
  <c r="K263" i="3"/>
  <c r="J263" i="3"/>
  <c r="H263" i="3"/>
  <c r="D263" i="3"/>
  <c r="K262" i="3"/>
  <c r="J262" i="3"/>
  <c r="H262" i="3"/>
  <c r="D262" i="3"/>
  <c r="K261" i="3"/>
  <c r="J261" i="3"/>
  <c r="H261" i="3"/>
  <c r="D261" i="3"/>
  <c r="K260" i="3"/>
  <c r="J260" i="3"/>
  <c r="H260" i="3"/>
  <c r="D260" i="3"/>
  <c r="K259" i="3"/>
  <c r="J259" i="3"/>
  <c r="H259" i="3"/>
  <c r="D259" i="3"/>
  <c r="K258" i="3"/>
  <c r="J258" i="3"/>
  <c r="H258" i="3"/>
  <c r="D258" i="3"/>
  <c r="K257" i="3"/>
  <c r="J257" i="3"/>
  <c r="H257" i="3"/>
  <c r="D257" i="3"/>
  <c r="K256" i="3"/>
  <c r="J256" i="3"/>
  <c r="H256" i="3"/>
  <c r="D256" i="3"/>
  <c r="K255" i="3"/>
  <c r="J255" i="3"/>
  <c r="H255" i="3"/>
  <c r="D255" i="3"/>
  <c r="K254" i="3"/>
  <c r="J254" i="3"/>
  <c r="H254" i="3"/>
  <c r="D254" i="3"/>
  <c r="K253" i="3"/>
  <c r="J253" i="3"/>
  <c r="H253" i="3"/>
  <c r="D253" i="3"/>
  <c r="K252" i="3"/>
  <c r="J252" i="3"/>
  <c r="H252" i="3"/>
  <c r="D252" i="3"/>
  <c r="K251" i="3"/>
  <c r="J251" i="3"/>
  <c r="H251" i="3"/>
  <c r="D251" i="3"/>
  <c r="K250" i="3"/>
  <c r="J250" i="3"/>
  <c r="H250" i="3"/>
  <c r="D250" i="3"/>
  <c r="K249" i="3"/>
  <c r="J249" i="3"/>
  <c r="H249" i="3"/>
  <c r="D249" i="3"/>
  <c r="K248" i="3"/>
  <c r="J248" i="3"/>
  <c r="H248" i="3"/>
  <c r="D248" i="3"/>
  <c r="K247" i="3"/>
  <c r="J247" i="3"/>
  <c r="H247" i="3"/>
  <c r="D247" i="3"/>
  <c r="K246" i="3"/>
  <c r="J246" i="3"/>
  <c r="H246" i="3"/>
  <c r="D246" i="3"/>
  <c r="K245" i="3"/>
  <c r="J245" i="3"/>
  <c r="H245" i="3"/>
  <c r="D245" i="3"/>
  <c r="K244" i="3"/>
  <c r="J244" i="3"/>
  <c r="H244" i="3"/>
  <c r="D244" i="3"/>
  <c r="K243" i="3"/>
  <c r="J243" i="3"/>
  <c r="H243" i="3"/>
  <c r="D243" i="3"/>
  <c r="K242" i="3"/>
  <c r="J242" i="3"/>
  <c r="H242" i="3"/>
  <c r="D242" i="3"/>
  <c r="K241" i="3"/>
  <c r="J241" i="3"/>
  <c r="H241" i="3"/>
  <c r="D241" i="3"/>
  <c r="K240" i="3"/>
  <c r="J240" i="3"/>
  <c r="H240" i="3"/>
  <c r="D240" i="3"/>
  <c r="K239" i="3"/>
  <c r="J239" i="3"/>
  <c r="H239" i="3"/>
  <c r="D239" i="3"/>
  <c r="K238" i="3"/>
  <c r="J238" i="3"/>
  <c r="H238" i="3"/>
  <c r="D238" i="3"/>
  <c r="K237" i="3"/>
  <c r="J237" i="3"/>
  <c r="H237" i="3"/>
  <c r="D237" i="3"/>
  <c r="K236" i="3"/>
  <c r="J236" i="3"/>
  <c r="H236" i="3"/>
  <c r="D236" i="3"/>
  <c r="K235" i="3"/>
  <c r="J235" i="3"/>
  <c r="H235" i="3"/>
  <c r="D235" i="3"/>
  <c r="K234" i="3"/>
  <c r="J234" i="3"/>
  <c r="H234" i="3"/>
  <c r="D234" i="3"/>
  <c r="K233" i="3"/>
  <c r="J233" i="3"/>
  <c r="H233" i="3"/>
  <c r="D233" i="3"/>
  <c r="K232" i="3"/>
  <c r="J232" i="3"/>
  <c r="H232" i="3"/>
  <c r="D232" i="3"/>
  <c r="K231" i="3"/>
  <c r="J231" i="3"/>
  <c r="H231" i="3"/>
  <c r="D231" i="3"/>
  <c r="K230" i="3"/>
  <c r="J230" i="3"/>
  <c r="H230" i="3"/>
  <c r="D230" i="3"/>
  <c r="K229" i="3"/>
  <c r="J229" i="3"/>
  <c r="H229" i="3"/>
  <c r="D229" i="3"/>
  <c r="K228" i="3"/>
  <c r="J228" i="3"/>
  <c r="H228" i="3"/>
  <c r="D228" i="3"/>
  <c r="K227" i="3"/>
  <c r="J227" i="3"/>
  <c r="H227" i="3"/>
  <c r="D227" i="3"/>
  <c r="K226" i="3"/>
  <c r="J226" i="3"/>
  <c r="H226" i="3"/>
  <c r="D226" i="3"/>
  <c r="K225" i="3"/>
  <c r="J225" i="3"/>
  <c r="H225" i="3"/>
  <c r="D225" i="3"/>
  <c r="K224" i="3"/>
  <c r="J224" i="3"/>
  <c r="H224" i="3"/>
  <c r="D224" i="3"/>
  <c r="K223" i="3"/>
  <c r="J223" i="3"/>
  <c r="H223" i="3"/>
  <c r="D223" i="3"/>
  <c r="K222" i="3"/>
  <c r="J222" i="3"/>
  <c r="H222" i="3"/>
  <c r="D222" i="3"/>
  <c r="K221" i="3"/>
  <c r="J221" i="3"/>
  <c r="H221" i="3"/>
  <c r="D221" i="3"/>
  <c r="K220" i="3"/>
  <c r="J220" i="3"/>
  <c r="H220" i="3"/>
  <c r="D220" i="3"/>
  <c r="K219" i="3"/>
  <c r="J219" i="3"/>
  <c r="H219" i="3"/>
  <c r="D219" i="3"/>
  <c r="K218" i="3"/>
  <c r="J218" i="3"/>
  <c r="H218" i="3"/>
  <c r="D218" i="3"/>
  <c r="K217" i="3"/>
  <c r="J217" i="3"/>
  <c r="H217" i="3"/>
  <c r="D217" i="3"/>
  <c r="K216" i="3"/>
  <c r="J216" i="3"/>
  <c r="H216" i="3"/>
  <c r="D216" i="3"/>
  <c r="K215" i="3"/>
  <c r="J215" i="3"/>
  <c r="H215" i="3"/>
  <c r="D215" i="3"/>
  <c r="K214" i="3"/>
  <c r="J214" i="3"/>
  <c r="H214" i="3"/>
  <c r="D214" i="3"/>
  <c r="K213" i="3"/>
  <c r="J213" i="3"/>
  <c r="H213" i="3"/>
  <c r="D213" i="3"/>
  <c r="K212" i="3"/>
  <c r="J212" i="3"/>
  <c r="H212" i="3"/>
  <c r="D212" i="3"/>
  <c r="K211" i="3"/>
  <c r="J211" i="3"/>
  <c r="H211" i="3"/>
  <c r="D211" i="3"/>
  <c r="K210" i="3"/>
  <c r="J210" i="3"/>
  <c r="H210" i="3"/>
  <c r="D210" i="3"/>
  <c r="K209" i="3"/>
  <c r="J209" i="3"/>
  <c r="H209" i="3"/>
  <c r="D209" i="3"/>
  <c r="K208" i="3"/>
  <c r="J208" i="3"/>
  <c r="H208" i="3"/>
  <c r="D208" i="3"/>
  <c r="K207" i="3"/>
  <c r="J207" i="3"/>
  <c r="H207" i="3"/>
  <c r="D207" i="3"/>
  <c r="K206" i="3"/>
  <c r="J206" i="3"/>
  <c r="H206" i="3"/>
  <c r="D206" i="3"/>
  <c r="K205" i="3"/>
  <c r="J205" i="3"/>
  <c r="H205" i="3"/>
  <c r="D205" i="3"/>
  <c r="K204" i="3"/>
  <c r="J204" i="3"/>
  <c r="H204" i="3"/>
  <c r="D204" i="3"/>
  <c r="K203" i="3"/>
  <c r="J203" i="3"/>
  <c r="H203" i="3"/>
  <c r="D203" i="3"/>
  <c r="K202" i="3"/>
  <c r="J202" i="3"/>
  <c r="H202" i="3"/>
  <c r="D202" i="3"/>
  <c r="K201" i="3"/>
  <c r="J201" i="3"/>
  <c r="H201" i="3"/>
  <c r="D201" i="3"/>
  <c r="K200" i="3"/>
  <c r="J200" i="3"/>
  <c r="H200" i="3"/>
  <c r="D200" i="3"/>
  <c r="K199" i="3"/>
  <c r="J199" i="3"/>
  <c r="H199" i="3"/>
  <c r="D199" i="3"/>
  <c r="K198" i="3"/>
  <c r="J198" i="3"/>
  <c r="H198" i="3"/>
  <c r="D198" i="3"/>
  <c r="K197" i="3"/>
  <c r="J197" i="3"/>
  <c r="H197" i="3"/>
  <c r="D197" i="3"/>
  <c r="K196" i="3"/>
  <c r="J196" i="3"/>
  <c r="H196" i="3"/>
  <c r="D196" i="3"/>
  <c r="K195" i="3"/>
  <c r="J195" i="3"/>
  <c r="H195" i="3"/>
  <c r="D195" i="3"/>
  <c r="K194" i="3"/>
  <c r="J194" i="3"/>
  <c r="H194" i="3"/>
  <c r="D194" i="3"/>
  <c r="K193" i="3"/>
  <c r="J193" i="3"/>
  <c r="H193" i="3"/>
  <c r="D193" i="3"/>
  <c r="K192" i="3"/>
  <c r="J192" i="3"/>
  <c r="H192" i="3"/>
  <c r="D192" i="3"/>
  <c r="K191" i="3"/>
  <c r="J191" i="3"/>
  <c r="H191" i="3"/>
  <c r="D191" i="3"/>
  <c r="K190" i="3"/>
  <c r="J190" i="3"/>
  <c r="H190" i="3"/>
  <c r="D190" i="3"/>
  <c r="K189" i="3"/>
  <c r="J189" i="3"/>
  <c r="H189" i="3"/>
  <c r="D189" i="3"/>
  <c r="K188" i="3"/>
  <c r="J188" i="3"/>
  <c r="H188" i="3"/>
  <c r="D188" i="3"/>
  <c r="K187" i="3"/>
  <c r="J187" i="3"/>
  <c r="H187" i="3"/>
  <c r="D187" i="3"/>
  <c r="K186" i="3"/>
  <c r="J186" i="3"/>
  <c r="H186" i="3"/>
  <c r="D186" i="3"/>
  <c r="K185" i="3"/>
  <c r="J185" i="3"/>
  <c r="H185" i="3"/>
  <c r="D185" i="3"/>
  <c r="K184" i="3"/>
  <c r="J184" i="3"/>
  <c r="H184" i="3"/>
  <c r="D184" i="3"/>
  <c r="K183" i="3"/>
  <c r="J183" i="3"/>
  <c r="H183" i="3"/>
  <c r="D183" i="3"/>
  <c r="K182" i="3"/>
  <c r="J182" i="3"/>
  <c r="H182" i="3"/>
  <c r="D182" i="3"/>
  <c r="K181" i="3"/>
  <c r="J181" i="3"/>
  <c r="H181" i="3"/>
  <c r="D181" i="3"/>
  <c r="K180" i="3"/>
  <c r="J180" i="3"/>
  <c r="H180" i="3"/>
  <c r="D180" i="3"/>
  <c r="K179" i="3"/>
  <c r="J179" i="3"/>
  <c r="H179" i="3"/>
  <c r="D179" i="3"/>
  <c r="K178" i="3"/>
  <c r="J178" i="3"/>
  <c r="H178" i="3"/>
  <c r="D178" i="3"/>
  <c r="K177" i="3"/>
  <c r="J177" i="3"/>
  <c r="H177" i="3"/>
  <c r="D177" i="3"/>
  <c r="K176" i="3"/>
  <c r="J176" i="3"/>
  <c r="H176" i="3"/>
  <c r="D176" i="3"/>
  <c r="K175" i="3"/>
  <c r="J175" i="3"/>
  <c r="H175" i="3"/>
  <c r="D175" i="3"/>
  <c r="K174" i="3"/>
  <c r="J174" i="3"/>
  <c r="H174" i="3"/>
  <c r="D174" i="3"/>
  <c r="K173" i="3"/>
  <c r="J173" i="3"/>
  <c r="H173" i="3"/>
  <c r="D173" i="3"/>
  <c r="K172" i="3"/>
  <c r="J172" i="3"/>
  <c r="H172" i="3"/>
  <c r="D172" i="3"/>
  <c r="K171" i="3"/>
  <c r="J171" i="3"/>
  <c r="H171" i="3"/>
  <c r="D171" i="3"/>
  <c r="K170" i="3"/>
  <c r="J170" i="3"/>
  <c r="H170" i="3"/>
  <c r="D170" i="3"/>
  <c r="K169" i="3"/>
  <c r="J169" i="3"/>
  <c r="H169" i="3"/>
  <c r="D169" i="3"/>
  <c r="K168" i="3"/>
  <c r="J168" i="3"/>
  <c r="H168" i="3"/>
  <c r="D168" i="3"/>
  <c r="K167" i="3"/>
  <c r="J167" i="3"/>
  <c r="H167" i="3"/>
  <c r="D167" i="3"/>
  <c r="K166" i="3"/>
  <c r="J166" i="3"/>
  <c r="H166" i="3"/>
  <c r="D166" i="3"/>
  <c r="K165" i="3"/>
  <c r="J165" i="3"/>
  <c r="H165" i="3"/>
  <c r="D165" i="3"/>
  <c r="K164" i="3"/>
  <c r="J164" i="3"/>
  <c r="H164" i="3"/>
  <c r="D164" i="3"/>
  <c r="K163" i="3"/>
  <c r="J163" i="3"/>
  <c r="H163" i="3"/>
  <c r="D163" i="3"/>
  <c r="K162" i="3"/>
  <c r="J162" i="3"/>
  <c r="H162" i="3"/>
  <c r="D162" i="3"/>
  <c r="K161" i="3"/>
  <c r="J161" i="3"/>
  <c r="H161" i="3"/>
  <c r="D161" i="3"/>
  <c r="K160" i="3"/>
  <c r="J160" i="3"/>
  <c r="H160" i="3"/>
  <c r="D160" i="3"/>
  <c r="K159" i="3"/>
  <c r="J159" i="3"/>
  <c r="H159" i="3"/>
  <c r="D159" i="3"/>
  <c r="K158" i="3"/>
  <c r="J158" i="3"/>
  <c r="H158" i="3"/>
  <c r="D158" i="3"/>
  <c r="K157" i="3"/>
  <c r="J157" i="3"/>
  <c r="H157" i="3"/>
  <c r="D157" i="3"/>
  <c r="K156" i="3"/>
  <c r="J156" i="3"/>
  <c r="H156" i="3"/>
  <c r="D156" i="3"/>
  <c r="K155" i="3"/>
  <c r="J155" i="3"/>
  <c r="H155" i="3"/>
  <c r="D155" i="3"/>
  <c r="K154" i="3"/>
  <c r="J154" i="3"/>
  <c r="H154" i="3"/>
  <c r="D154" i="3"/>
  <c r="K153" i="3"/>
  <c r="J153" i="3"/>
  <c r="H153" i="3"/>
  <c r="D153" i="3"/>
  <c r="K152" i="3"/>
  <c r="J152" i="3"/>
  <c r="H152" i="3"/>
  <c r="D152" i="3"/>
  <c r="K151" i="3"/>
  <c r="J151" i="3"/>
  <c r="H151" i="3"/>
  <c r="D151" i="3"/>
  <c r="K150" i="3"/>
  <c r="J150" i="3"/>
  <c r="H150" i="3"/>
  <c r="D150" i="3"/>
  <c r="K149" i="3"/>
  <c r="J149" i="3"/>
  <c r="H149" i="3"/>
  <c r="D149" i="3"/>
  <c r="K148" i="3"/>
  <c r="J148" i="3"/>
  <c r="H148" i="3"/>
  <c r="D148" i="3"/>
  <c r="K147" i="3"/>
  <c r="J147" i="3"/>
  <c r="H147" i="3"/>
  <c r="D147" i="3"/>
  <c r="K146" i="3"/>
  <c r="J146" i="3"/>
  <c r="H146" i="3"/>
  <c r="D146" i="3"/>
  <c r="K145" i="3"/>
  <c r="J145" i="3"/>
  <c r="H145" i="3"/>
  <c r="D145" i="3"/>
  <c r="K144" i="3"/>
  <c r="J144" i="3"/>
  <c r="H144" i="3"/>
  <c r="D144" i="3"/>
  <c r="K143" i="3"/>
  <c r="J143" i="3"/>
  <c r="H143" i="3"/>
  <c r="D143" i="3"/>
  <c r="K142" i="3"/>
  <c r="J142" i="3"/>
  <c r="H142" i="3"/>
  <c r="D142" i="3"/>
  <c r="K141" i="3"/>
  <c r="J141" i="3"/>
  <c r="H141" i="3"/>
  <c r="D141" i="3"/>
  <c r="K140" i="3"/>
  <c r="J140" i="3"/>
  <c r="H140" i="3"/>
  <c r="D140" i="3"/>
  <c r="K139" i="3"/>
  <c r="J139" i="3"/>
  <c r="H139" i="3"/>
  <c r="D139" i="3"/>
  <c r="K138" i="3"/>
  <c r="J138" i="3"/>
  <c r="H138" i="3"/>
  <c r="D138" i="3"/>
  <c r="K137" i="3"/>
  <c r="J137" i="3"/>
  <c r="H137" i="3"/>
  <c r="D137" i="3"/>
  <c r="K136" i="3"/>
  <c r="J136" i="3"/>
  <c r="H136" i="3"/>
  <c r="D136" i="3"/>
  <c r="K135" i="3"/>
  <c r="J135" i="3"/>
  <c r="H135" i="3"/>
  <c r="D135" i="3"/>
  <c r="K134" i="3"/>
  <c r="J134" i="3"/>
  <c r="H134" i="3"/>
  <c r="D134" i="3"/>
  <c r="K133" i="3"/>
  <c r="J133" i="3"/>
  <c r="H133" i="3"/>
  <c r="D133" i="3"/>
  <c r="K132" i="3"/>
  <c r="J132" i="3"/>
  <c r="H132" i="3"/>
  <c r="D132" i="3"/>
  <c r="K131" i="3"/>
  <c r="J131" i="3"/>
  <c r="H131" i="3"/>
  <c r="D131" i="3"/>
  <c r="K130" i="3"/>
  <c r="J130" i="3"/>
  <c r="H130" i="3"/>
  <c r="D130" i="3"/>
  <c r="K129" i="3"/>
  <c r="J129" i="3"/>
  <c r="H129" i="3"/>
  <c r="D129" i="3"/>
  <c r="K128" i="3"/>
  <c r="J128" i="3"/>
  <c r="H128" i="3"/>
  <c r="D128" i="3"/>
  <c r="K127" i="3"/>
  <c r="J127" i="3"/>
  <c r="H127" i="3"/>
  <c r="D127" i="3"/>
  <c r="K126" i="3"/>
  <c r="J126" i="3"/>
  <c r="H126" i="3"/>
  <c r="D126" i="3"/>
  <c r="K125" i="3"/>
  <c r="J125" i="3"/>
  <c r="H125" i="3"/>
  <c r="D125" i="3"/>
  <c r="K124" i="3"/>
  <c r="J124" i="3"/>
  <c r="H124" i="3"/>
  <c r="D124" i="3"/>
  <c r="K123" i="3"/>
  <c r="J123" i="3"/>
  <c r="H123" i="3"/>
  <c r="D123" i="3"/>
  <c r="K122" i="3"/>
  <c r="J122" i="3"/>
  <c r="H122" i="3"/>
  <c r="D122" i="3"/>
  <c r="K121" i="3"/>
  <c r="J121" i="3"/>
  <c r="H121" i="3"/>
  <c r="D121" i="3"/>
  <c r="K120" i="3"/>
  <c r="J120" i="3"/>
  <c r="H120" i="3"/>
  <c r="D120" i="3"/>
  <c r="K119" i="3"/>
  <c r="J119" i="3"/>
  <c r="H119" i="3"/>
  <c r="D119" i="3"/>
  <c r="K118" i="3"/>
  <c r="J118" i="3"/>
  <c r="H118" i="3"/>
  <c r="D118" i="3"/>
  <c r="K117" i="3"/>
  <c r="J117" i="3"/>
  <c r="H117" i="3"/>
  <c r="D117" i="3"/>
  <c r="K116" i="3"/>
  <c r="J116" i="3"/>
  <c r="H116" i="3"/>
  <c r="D116" i="3"/>
  <c r="K115" i="3"/>
  <c r="J115" i="3"/>
  <c r="H115" i="3"/>
  <c r="D115" i="3"/>
  <c r="K114" i="3"/>
  <c r="J114" i="3"/>
  <c r="H114" i="3"/>
  <c r="D114" i="3"/>
  <c r="K113" i="3"/>
  <c r="J113" i="3"/>
  <c r="H113" i="3"/>
  <c r="D113" i="3"/>
  <c r="K112" i="3"/>
  <c r="J112" i="3"/>
  <c r="H112" i="3"/>
  <c r="D112" i="3"/>
  <c r="K111" i="3"/>
  <c r="J111" i="3"/>
  <c r="H111" i="3"/>
  <c r="D111" i="3"/>
  <c r="K110" i="3"/>
  <c r="J110" i="3"/>
  <c r="H110" i="3"/>
  <c r="D110" i="3"/>
  <c r="K109" i="3"/>
  <c r="J109" i="3"/>
  <c r="H109" i="3"/>
  <c r="D109" i="3"/>
  <c r="K108" i="3"/>
  <c r="J108" i="3"/>
  <c r="H108" i="3"/>
  <c r="D108" i="3"/>
  <c r="K107" i="3"/>
  <c r="J107" i="3"/>
  <c r="H107" i="3"/>
  <c r="D107" i="3"/>
  <c r="K106" i="3"/>
  <c r="J106" i="3"/>
  <c r="H106" i="3"/>
  <c r="D106" i="3"/>
  <c r="K105" i="3"/>
  <c r="J105" i="3"/>
  <c r="H105" i="3"/>
  <c r="D105" i="3"/>
  <c r="K104" i="3"/>
  <c r="J104" i="3"/>
  <c r="H104" i="3"/>
  <c r="D104" i="3"/>
  <c r="K103" i="3"/>
  <c r="J103" i="3"/>
  <c r="H103" i="3"/>
  <c r="D103" i="3"/>
  <c r="K102" i="3"/>
  <c r="J102" i="3"/>
  <c r="H102" i="3"/>
  <c r="D102" i="3"/>
  <c r="K101" i="3"/>
  <c r="J101" i="3"/>
  <c r="H101" i="3"/>
  <c r="D101" i="3"/>
  <c r="K100" i="3"/>
  <c r="J100" i="3"/>
  <c r="H100" i="3"/>
  <c r="D100" i="3"/>
  <c r="K99" i="3"/>
  <c r="J99" i="3"/>
  <c r="H99" i="3"/>
  <c r="D99" i="3"/>
  <c r="K98" i="3"/>
  <c r="J98" i="3"/>
  <c r="H98" i="3"/>
  <c r="D98" i="3"/>
  <c r="K97" i="3"/>
  <c r="J97" i="3"/>
  <c r="H97" i="3"/>
  <c r="D97" i="3"/>
  <c r="K96" i="3"/>
  <c r="J96" i="3"/>
  <c r="H96" i="3"/>
  <c r="D96" i="3"/>
  <c r="K95" i="3"/>
  <c r="J95" i="3"/>
  <c r="H95" i="3"/>
  <c r="D95" i="3"/>
  <c r="K94" i="3"/>
  <c r="J94" i="3"/>
  <c r="H94" i="3"/>
  <c r="D94" i="3"/>
  <c r="K93" i="3"/>
  <c r="J93" i="3"/>
  <c r="H93" i="3"/>
  <c r="D93" i="3"/>
  <c r="K92" i="3"/>
  <c r="J92" i="3"/>
  <c r="H92" i="3"/>
  <c r="D92" i="3"/>
  <c r="K91" i="3"/>
  <c r="J91" i="3"/>
  <c r="H91" i="3"/>
  <c r="D91" i="3"/>
  <c r="K90" i="3"/>
  <c r="J90" i="3"/>
  <c r="H90" i="3"/>
  <c r="D90" i="3"/>
  <c r="K89" i="3"/>
  <c r="J89" i="3"/>
  <c r="H89" i="3"/>
  <c r="D89" i="3"/>
  <c r="K88" i="3"/>
  <c r="J88" i="3"/>
  <c r="H88" i="3"/>
  <c r="D88" i="3"/>
  <c r="K87" i="3"/>
  <c r="J87" i="3"/>
  <c r="H87" i="3"/>
  <c r="D87" i="3"/>
  <c r="K86" i="3"/>
  <c r="J86" i="3"/>
  <c r="H86" i="3"/>
  <c r="D86" i="3"/>
  <c r="K85" i="3"/>
  <c r="J85" i="3"/>
  <c r="H85" i="3"/>
  <c r="D85" i="3"/>
  <c r="K84" i="3"/>
  <c r="J84" i="3"/>
  <c r="H84" i="3"/>
  <c r="D84" i="3"/>
  <c r="K83" i="3"/>
  <c r="J83" i="3"/>
  <c r="H83" i="3"/>
  <c r="D83" i="3"/>
  <c r="K82" i="3"/>
  <c r="J82" i="3"/>
  <c r="H82" i="3"/>
  <c r="D82" i="3"/>
  <c r="K81" i="3"/>
  <c r="J81" i="3"/>
  <c r="H81" i="3"/>
  <c r="D81" i="3"/>
  <c r="K80" i="3"/>
  <c r="J80" i="3"/>
  <c r="H80" i="3"/>
  <c r="D80" i="3"/>
  <c r="K79" i="3"/>
  <c r="J79" i="3"/>
  <c r="H79" i="3"/>
  <c r="D79" i="3"/>
  <c r="K78" i="3"/>
  <c r="J78" i="3"/>
  <c r="H78" i="3"/>
  <c r="D78" i="3"/>
  <c r="K77" i="3"/>
  <c r="J77" i="3"/>
  <c r="H77" i="3"/>
  <c r="D77" i="3"/>
  <c r="K76" i="3"/>
  <c r="J76" i="3"/>
  <c r="H76" i="3"/>
  <c r="D76" i="3"/>
  <c r="K75" i="3"/>
  <c r="J75" i="3"/>
  <c r="H75" i="3"/>
  <c r="D75" i="3"/>
  <c r="K74" i="3"/>
  <c r="J74" i="3"/>
  <c r="H74" i="3"/>
  <c r="D74" i="3"/>
  <c r="K73" i="3"/>
  <c r="J73" i="3"/>
  <c r="H73" i="3"/>
  <c r="D73" i="3"/>
  <c r="K72" i="3"/>
  <c r="J72" i="3"/>
  <c r="H72" i="3"/>
  <c r="D72" i="3"/>
  <c r="K71" i="3"/>
  <c r="J71" i="3"/>
  <c r="H71" i="3"/>
  <c r="D71" i="3"/>
  <c r="K70" i="3"/>
  <c r="J70" i="3"/>
  <c r="H70" i="3"/>
  <c r="D70" i="3"/>
  <c r="K69" i="3"/>
  <c r="J69" i="3"/>
  <c r="H69" i="3"/>
  <c r="D69" i="3"/>
  <c r="K68" i="3"/>
  <c r="J68" i="3"/>
  <c r="H68" i="3"/>
  <c r="D68" i="3"/>
  <c r="K67" i="3"/>
  <c r="J67" i="3"/>
  <c r="H67" i="3"/>
  <c r="D67" i="3"/>
  <c r="K66" i="3"/>
  <c r="J66" i="3"/>
  <c r="H66" i="3"/>
  <c r="D66" i="3"/>
  <c r="K65" i="3"/>
  <c r="J65" i="3"/>
  <c r="H65" i="3"/>
  <c r="D65" i="3"/>
  <c r="K64" i="3"/>
  <c r="J64" i="3"/>
  <c r="H64" i="3"/>
  <c r="D64" i="3"/>
  <c r="K63" i="3"/>
  <c r="J63" i="3"/>
  <c r="H63" i="3"/>
  <c r="D63" i="3"/>
  <c r="K62" i="3"/>
  <c r="J62" i="3"/>
  <c r="H62" i="3"/>
  <c r="D62" i="3"/>
  <c r="K61" i="3"/>
  <c r="J61" i="3"/>
  <c r="H61" i="3"/>
  <c r="D61" i="3"/>
  <c r="K60" i="3"/>
  <c r="J60" i="3"/>
  <c r="H60" i="3"/>
  <c r="D60" i="3"/>
  <c r="K59" i="3"/>
  <c r="J59" i="3"/>
  <c r="H59" i="3"/>
  <c r="D59" i="3"/>
  <c r="K58" i="3"/>
  <c r="J58" i="3"/>
  <c r="H58" i="3"/>
  <c r="D58" i="3"/>
  <c r="K57" i="3"/>
  <c r="J57" i="3"/>
  <c r="H57" i="3"/>
  <c r="D57" i="3"/>
  <c r="K56" i="3"/>
  <c r="J56" i="3"/>
  <c r="H56" i="3"/>
  <c r="D56" i="3"/>
  <c r="K55" i="3"/>
  <c r="J55" i="3"/>
  <c r="H55" i="3"/>
  <c r="D55" i="3"/>
  <c r="K54" i="3"/>
  <c r="J54" i="3"/>
  <c r="H54" i="3"/>
  <c r="D54" i="3"/>
  <c r="K53" i="3"/>
  <c r="J53" i="3"/>
  <c r="H53" i="3"/>
  <c r="D53" i="3"/>
  <c r="K52" i="3"/>
  <c r="J52" i="3"/>
  <c r="H52" i="3"/>
  <c r="D52" i="3"/>
  <c r="K51" i="3"/>
  <c r="J51" i="3"/>
  <c r="H51" i="3"/>
  <c r="D51" i="3"/>
  <c r="K50" i="3"/>
  <c r="J50" i="3"/>
  <c r="H50" i="3"/>
  <c r="D50" i="3"/>
  <c r="K49" i="3"/>
  <c r="J49" i="3"/>
  <c r="H49" i="3"/>
  <c r="D49" i="3"/>
  <c r="K48" i="3"/>
  <c r="J48" i="3"/>
  <c r="H48" i="3"/>
  <c r="D48" i="3"/>
  <c r="K47" i="3"/>
  <c r="J47" i="3"/>
  <c r="H47" i="3"/>
  <c r="D47" i="3"/>
  <c r="K46" i="3"/>
  <c r="J46" i="3"/>
  <c r="H46" i="3"/>
  <c r="D46" i="3"/>
  <c r="K45" i="3"/>
  <c r="J45" i="3"/>
  <c r="H45" i="3"/>
  <c r="D45" i="3"/>
  <c r="K44" i="3"/>
  <c r="J44" i="3"/>
  <c r="H44" i="3"/>
  <c r="D44" i="3"/>
  <c r="K43" i="3"/>
  <c r="J43" i="3"/>
  <c r="H43" i="3"/>
  <c r="D43" i="3"/>
  <c r="K42" i="3"/>
  <c r="J42" i="3"/>
  <c r="H42" i="3"/>
  <c r="D42" i="3"/>
  <c r="K41" i="3"/>
  <c r="J41" i="3"/>
  <c r="H41" i="3"/>
  <c r="D41" i="3"/>
  <c r="K40" i="3"/>
  <c r="J40" i="3"/>
  <c r="H40" i="3"/>
  <c r="D40" i="3"/>
  <c r="K39" i="3"/>
  <c r="J39" i="3"/>
  <c r="H39" i="3"/>
  <c r="D39" i="3"/>
  <c r="K38" i="3"/>
  <c r="J38" i="3"/>
  <c r="H38" i="3"/>
  <c r="D38" i="3"/>
  <c r="K37" i="3"/>
  <c r="J37" i="3"/>
  <c r="H37" i="3"/>
  <c r="D37" i="3"/>
  <c r="K36" i="3"/>
  <c r="J36" i="3"/>
  <c r="H36" i="3"/>
  <c r="D36" i="3"/>
  <c r="K35" i="3"/>
  <c r="J35" i="3"/>
  <c r="H35" i="3"/>
  <c r="D35" i="3"/>
  <c r="K34" i="3"/>
  <c r="J34" i="3"/>
  <c r="H34" i="3"/>
  <c r="D34" i="3"/>
  <c r="K33" i="3"/>
  <c r="J33" i="3"/>
  <c r="H33" i="3"/>
  <c r="D33" i="3"/>
  <c r="K32" i="3"/>
  <c r="J32" i="3"/>
  <c r="H32" i="3"/>
  <c r="D32" i="3"/>
  <c r="K31" i="3"/>
  <c r="J31" i="3"/>
  <c r="H31" i="3"/>
  <c r="D31" i="3"/>
  <c r="K30" i="3"/>
  <c r="J30" i="3"/>
  <c r="H30" i="3"/>
  <c r="D30" i="3"/>
  <c r="K29" i="3"/>
  <c r="J29" i="3"/>
  <c r="H29" i="3"/>
  <c r="D29" i="3"/>
  <c r="K28" i="3"/>
  <c r="J28" i="3"/>
  <c r="H28" i="3"/>
  <c r="D28" i="3"/>
  <c r="K27" i="3"/>
  <c r="J27" i="3"/>
  <c r="H27" i="3"/>
  <c r="D27" i="3"/>
  <c r="K26" i="3"/>
  <c r="J26" i="3"/>
  <c r="H26" i="3"/>
  <c r="D26" i="3"/>
  <c r="K25" i="3"/>
  <c r="J25" i="3"/>
  <c r="H25" i="3"/>
  <c r="D25" i="3"/>
  <c r="K24" i="3"/>
  <c r="J24" i="3"/>
  <c r="H24" i="3"/>
  <c r="D24" i="3"/>
  <c r="K23" i="3"/>
  <c r="J23" i="3"/>
  <c r="H23" i="3"/>
  <c r="D23" i="3"/>
  <c r="K22" i="3"/>
  <c r="J22" i="3"/>
  <c r="H22" i="3"/>
  <c r="D22" i="3"/>
  <c r="K21" i="3"/>
  <c r="J21" i="3"/>
  <c r="H21" i="3"/>
  <c r="D21" i="3"/>
  <c r="K20" i="3"/>
  <c r="J20" i="3"/>
  <c r="H20" i="3"/>
  <c r="D20" i="3"/>
  <c r="K19" i="3"/>
  <c r="J19" i="3"/>
  <c r="H19" i="3"/>
  <c r="D19" i="3"/>
  <c r="K18" i="3"/>
  <c r="J18" i="3"/>
  <c r="H18" i="3"/>
  <c r="D18" i="3"/>
  <c r="K17" i="3"/>
  <c r="J17" i="3"/>
  <c r="H17" i="3"/>
  <c r="D17" i="3"/>
  <c r="K16" i="3"/>
  <c r="J16" i="3"/>
  <c r="H16" i="3"/>
  <c r="D16" i="3"/>
  <c r="K15" i="3"/>
  <c r="J15" i="3"/>
  <c r="H15" i="3"/>
  <c r="D15" i="3"/>
  <c r="K14" i="3"/>
  <c r="J14" i="3"/>
  <c r="H14" i="3"/>
  <c r="D14" i="3"/>
  <c r="K13" i="3"/>
  <c r="J13" i="3"/>
  <c r="H13" i="3"/>
  <c r="D13" i="3"/>
  <c r="K12" i="3"/>
  <c r="J12" i="3"/>
  <c r="H12" i="3"/>
  <c r="D12" i="3"/>
  <c r="K11" i="3"/>
  <c r="J11" i="3"/>
  <c r="H11" i="3"/>
  <c r="D11" i="3"/>
  <c r="K10" i="3"/>
  <c r="J10" i="3"/>
  <c r="H10" i="3"/>
  <c r="D10" i="3"/>
  <c r="K9" i="3"/>
  <c r="J9" i="3"/>
  <c r="H9" i="3"/>
  <c r="D9" i="3"/>
  <c r="K8" i="3"/>
  <c r="J8" i="3"/>
  <c r="H8" i="3"/>
  <c r="D8" i="3"/>
  <c r="K7" i="3"/>
  <c r="J7" i="3"/>
  <c r="H7" i="3"/>
  <c r="D7" i="3"/>
  <c r="K6" i="3"/>
  <c r="J6" i="3"/>
  <c r="H6" i="3"/>
  <c r="D6" i="3"/>
  <c r="K5" i="3"/>
  <c r="J5" i="3"/>
  <c r="H5" i="3"/>
  <c r="D5" i="3"/>
  <c r="K4" i="3"/>
  <c r="J4" i="3"/>
  <c r="H4" i="3"/>
  <c r="D4" i="3"/>
  <c r="K3" i="3"/>
  <c r="J3" i="3"/>
  <c r="H3" i="3"/>
  <c r="D3" i="3"/>
  <c r="K2" i="3"/>
  <c r="J2" i="3"/>
  <c r="H2" i="3"/>
  <c r="D2" i="3"/>
</calcChain>
</file>

<file path=xl/sharedStrings.xml><?xml version="1.0" encoding="utf-8"?>
<sst xmlns="http://schemas.openxmlformats.org/spreadsheetml/2006/main" count="2283" uniqueCount="1369">
  <si>
    <t>Tárgy</t>
  </si>
  <si>
    <t>Tárgy nept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</si>
  <si>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</si>
  <si>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</si>
  <si>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</si>
  <si>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</si>
  <si>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</si>
  <si>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</si>
  <si>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</si>
  <si>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</si>
  <si>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</si>
  <si>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</si>
  <si>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</si>
  <si>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</si>
  <si>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</si>
  <si>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</si>
  <si>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</si>
  <si>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</si>
  <si>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</si>
  <si>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</si>
  <si>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</si>
  <si>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</si>
  <si>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</si>
  <si>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</si>
  <si>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</si>
  <si>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</si>
  <si>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</si>
  <si>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</si>
  <si>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</si>
  <si>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</si>
  <si>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</si>
  <si>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</si>
  <si>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</si>
  <si>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</si>
  <si>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</si>
  <si>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</si>
  <si>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</si>
  <si>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</si>
  <si>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</si>
  <si>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</si>
  <si>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</si>
  <si>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</si>
  <si>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</si>
  <si>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</si>
  <si>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</si>
  <si>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</si>
  <si>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</si>
  <si>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</si>
  <si>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</si>
  <si>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</si>
  <si>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</si>
  <si>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</si>
  <si>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</si>
  <si>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</si>
  <si>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Neptun kód</t>
  </si>
  <si>
    <t>Hallgató neve</t>
  </si>
  <si>
    <t>Tárgykód</t>
  </si>
  <si>
    <t>Konzulens neve</t>
  </si>
  <si>
    <t>Lépés</t>
  </si>
  <si>
    <t>Makró</t>
  </si>
  <si>
    <t>Hotkey</t>
  </si>
  <si>
    <t>Leírás</t>
  </si>
  <si>
    <t>CollectStudents</t>
  </si>
  <si>
    <t>Ctrl-Shift-C</t>
  </si>
  <si>
    <t>Ctrl-Shift-G</t>
  </si>
  <si>
    <t>A Terheles… xlsx alapján feltölti a GeneráltHallgatóiLista worksheetet</t>
  </si>
  <si>
    <t>Legenerálja a feladatkiírásokat a sablon alapján</t>
  </si>
  <si>
    <t>Még hasznos lehet a zipTaskDescriptions.ps1, mely konzulensenként zippeli be a kiírásokat.</t>
  </si>
  <si>
    <t>Dolgozat címe magyarul</t>
  </si>
  <si>
    <t>Dolgozat címe angolul</t>
  </si>
  <si>
    <t>Bírálat nyelve</t>
  </si>
  <si>
    <t>Kimeneti fájl sablon</t>
  </si>
  <si>
    <t>Magyar sablon</t>
  </si>
  <si>
    <t>Angol sablon</t>
  </si>
  <si>
    <t>template_task_hu.docx</t>
  </si>
  <si>
    <t>template_task_en.docx</t>
  </si>
  <si>
    <t>template_review_hu.docx</t>
  </si>
  <si>
    <t>template_review_en.docx</t>
  </si>
  <si>
    <t>template_grade_hu.docx</t>
  </si>
  <si>
    <t>template_grade_en.docx</t>
  </si>
  <si>
    <t>Kővári Bence Dr.</t>
  </si>
  <si>
    <t>magyar</t>
  </si>
  <si>
    <t>name_task.docx</t>
  </si>
  <si>
    <t>name_review.docx</t>
  </si>
  <si>
    <t>name_grade.docx</t>
  </si>
  <si>
    <t>Degree level</t>
  </si>
  <si>
    <t>BSc</t>
  </si>
  <si>
    <t>MSc</t>
  </si>
  <si>
    <t>Electrical Engineering</t>
  </si>
  <si>
    <t>Computer Engineering</t>
  </si>
  <si>
    <t>Mechatronic Engineering</t>
  </si>
  <si>
    <t>Program name</t>
  </si>
  <si>
    <t>Diplomatervezés</t>
  </si>
  <si>
    <t>GenerateDocuments</t>
  </si>
  <si>
    <t>Szükséges külső fájlok:</t>
  </si>
  <si>
    <t>sablonok</t>
  </si>
  <si>
    <t>TemplatesAndFiles worksheet alapján</t>
  </si>
  <si>
    <t>Terhelés xls</t>
  </si>
  <si>
    <t>Zv segéd export</t>
  </si>
  <si>
    <t>Terhelés.xlsx</t>
  </si>
  <si>
    <t>reviewTemplates_reports.xlsx</t>
  </si>
  <si>
    <t>name_review_grade.docx</t>
  </si>
  <si>
    <t>template_review_grade_hu.docx</t>
  </si>
  <si>
    <t>template_review_grade_en.docx</t>
  </si>
  <si>
    <t>Albert István</t>
  </si>
  <si>
    <t>Forstner Bertalan Dr.</t>
  </si>
  <si>
    <t>Pásztori Péter Benjámin</t>
  </si>
  <si>
    <t>L87LWY</t>
  </si>
  <si>
    <t>Füstös Gergely</t>
  </si>
  <si>
    <t>HZNJM6</t>
  </si>
  <si>
    <t>Gyóni Ákos Attila</t>
  </si>
  <si>
    <t>PKK65Q</t>
  </si>
  <si>
    <t>Hideg Attila Dr.</t>
  </si>
  <si>
    <t>Hankóczi Gábor Miklós</t>
  </si>
  <si>
    <t>GIZVI5</t>
  </si>
  <si>
    <t>Tevesz Judit</t>
  </si>
  <si>
    <t>Lenkovics Ákos</t>
  </si>
  <si>
    <t>CDGJW9</t>
  </si>
  <si>
    <t>Egészséges életmódot támogató webalkalmazás fejlesztése ASP.NET MVC és Angular alapokon</t>
  </si>
  <si>
    <t>Development of a web application supporting a healthy lifestyle based on ASP.NET MVC and Angular</t>
  </si>
  <si>
    <t>Mesterséges intelligencia alapú adaptív feladatválasztás és paraméterhangolás kognitív képességek modellezésében</t>
  </si>
  <si>
    <t>AI-Based Adaptive Task Selection and Parameter Adjustment for Cognitive Ability Modeling</t>
  </si>
  <si>
    <t>AI alapú időjárás előrejelzés Python nyelven</t>
  </si>
  <si>
    <t>AI-Based Weather Forecasting in Python</t>
  </si>
  <si>
    <t>AI és egyéb alrendszerek integrációja távoli elérési szoftverbe</t>
  </si>
  <si>
    <t>Integration of AI and Other Subsystems into Remote Access Software</t>
  </si>
  <si>
    <t>Webes alaprajzszerkesztő alkalmazás készítése</t>
  </si>
  <si>
    <t>Creating a floor plan editing webapplication</t>
  </si>
  <si>
    <t>https://zarovizsga.aut.bme.hu/admin/report?selectedKey=reviewTemplates</t>
  </si>
  <si>
    <t>https://www.aut.bme.hu/StaffMembers/MyWorkload.aspx</t>
  </si>
  <si>
    <t>Kell? 0/1</t>
  </si>
  <si>
    <t>TemplatesAndFiles.Kell oszlop beállítása: 1 ha kell a kimeneti fájl, 0 ha nem.</t>
  </si>
  <si>
    <t>Szinyéri Bence</t>
  </si>
  <si>
    <t>Ekler Péter Dr.</t>
  </si>
  <si>
    <t>Al-Magsoosi Husam Dr.</t>
  </si>
  <si>
    <t>Mrad Mohamed Azouz</t>
  </si>
  <si>
    <t>Imre Gábor</t>
  </si>
  <si>
    <t>Szekeres Kornél</t>
  </si>
  <si>
    <t>Pomázi Krisztián</t>
  </si>
  <si>
    <t>Tóth Tibor</t>
  </si>
  <si>
    <t>Gincsai Gábor</t>
  </si>
  <si>
    <t>Csorba Kristóf Dr.</t>
  </si>
  <si>
    <t>Torma Szabolcs</t>
  </si>
  <si>
    <t>Somogyi Ferenc Attila Dr.</t>
  </si>
  <si>
    <t>Kiss Domokos Dr.</t>
  </si>
  <si>
    <t>Gótzy Márton</t>
  </si>
  <si>
    <t>Szegletes Luca Dr.</t>
  </si>
  <si>
    <t>Kökényesi Tamás</t>
  </si>
  <si>
    <t>Kovács László</t>
  </si>
  <si>
    <t>Nagy Ákos</t>
  </si>
  <si>
    <t>Bándy Kristóf Gábor Dr.</t>
  </si>
  <si>
    <t>Balogh Attila Dr.</t>
  </si>
  <si>
    <t>Kovács Mátyás Örs</t>
  </si>
  <si>
    <t>CM5AP1</t>
  </si>
  <si>
    <t>Szücs Cintia Lia</t>
  </si>
  <si>
    <t>Gyulai Gergő László</t>
  </si>
  <si>
    <t>JJY2VO</t>
  </si>
  <si>
    <t>Somogyi Norbert Zsolt</t>
  </si>
  <si>
    <t>Nemes Axel Roland</t>
  </si>
  <si>
    <t>CK9G55</t>
  </si>
  <si>
    <t>Hérincs Bence Attila</t>
  </si>
  <si>
    <t>H9PB1F</t>
  </si>
  <si>
    <t>Mikecz Gábor</t>
  </si>
  <si>
    <t>OHQ0HM</t>
  </si>
  <si>
    <t>Rumi Zoárd</t>
  </si>
  <si>
    <t>QWF9WO</t>
  </si>
  <si>
    <t>Bugya Eszter</t>
  </si>
  <si>
    <t>EQT5K1</t>
  </si>
  <si>
    <t>Sik Dávid</t>
  </si>
  <si>
    <t>Safár Gergő</t>
  </si>
  <si>
    <t>LM1ZJR</t>
  </si>
  <si>
    <t>Barabás Martin</t>
  </si>
  <si>
    <t>PHIF7K</t>
  </si>
  <si>
    <t>Hamar János Dr.</t>
  </si>
  <si>
    <t>Szüllő Péter</t>
  </si>
  <si>
    <t>BE9NZC</t>
  </si>
  <si>
    <t>Kovács Tibor Dr.</t>
  </si>
  <si>
    <t>Domonkos Ádám</t>
  </si>
  <si>
    <t>CWGYWC</t>
  </si>
  <si>
    <t>Berente Bálint István</t>
  </si>
  <si>
    <t>LB8O75</t>
  </si>
  <si>
    <t>Kövesdán Gábor</t>
  </si>
  <si>
    <t>Szénási Krisztián</t>
  </si>
  <si>
    <t>XYD66R</t>
  </si>
  <si>
    <t>Mezei Gergely Dr.</t>
  </si>
  <si>
    <t>Galatean Marcell</t>
  </si>
  <si>
    <t>CWCCUY</t>
  </si>
  <si>
    <t>Varga Ádám Marcell</t>
  </si>
  <si>
    <t>E22H8P</t>
  </si>
  <si>
    <t>Hanich Péter</t>
  </si>
  <si>
    <t>A1FVB8</t>
  </si>
  <si>
    <t>Knyihár Gábor</t>
  </si>
  <si>
    <t>Mészáros László</t>
  </si>
  <si>
    <t>Q4KPC5</t>
  </si>
  <si>
    <t>Dancsó Marcell</t>
  </si>
  <si>
    <t>AZTVS7</t>
  </si>
  <si>
    <t>Molnár Levente</t>
  </si>
  <si>
    <t>JGWFM2</t>
  </si>
  <si>
    <t>Biró Bence</t>
  </si>
  <si>
    <t>SM5P0J</t>
  </si>
  <si>
    <t>Ferge Máté Lajos</t>
  </si>
  <si>
    <t>P2H0P0</t>
  </si>
  <si>
    <t>Benedek Zoltán</t>
  </si>
  <si>
    <t>Richly Bálint Gábor</t>
  </si>
  <si>
    <t>YO685Y</t>
  </si>
  <si>
    <t>Szabó Zoltán</t>
  </si>
  <si>
    <t>Jeges Gábor</t>
  </si>
  <si>
    <t>JCIRJL</t>
  </si>
  <si>
    <t>Musa Abdullah</t>
  </si>
  <si>
    <t>MA3424</t>
  </si>
  <si>
    <t>Le Ngoc Thai</t>
  </si>
  <si>
    <t>P3850P</t>
  </si>
  <si>
    <t>Fosztó-Bartha Ábel</t>
  </si>
  <si>
    <t>Z0EAAP</t>
  </si>
  <si>
    <t>Szeifert Cintia</t>
  </si>
  <si>
    <t>NC2UM0</t>
  </si>
  <si>
    <t>Iványi Balázs</t>
  </si>
  <si>
    <t>OWM3QU</t>
  </si>
  <si>
    <t>Bárkányi Csaba</t>
  </si>
  <si>
    <t>BQI7QQ</t>
  </si>
  <si>
    <t>Galuska Zoltán Bálint</t>
  </si>
  <si>
    <t>KYQU46</t>
  </si>
  <si>
    <t>Vámosi József</t>
  </si>
  <si>
    <t>NPB8UM</t>
  </si>
  <si>
    <t>Novák Bálint Huba</t>
  </si>
  <si>
    <t>OHKFY9</t>
  </si>
  <si>
    <t>Gazdi László</t>
  </si>
  <si>
    <t>Bacskai Tamás</t>
  </si>
  <si>
    <t>VHUI74</t>
  </si>
  <si>
    <t>Fischer Balázs</t>
  </si>
  <si>
    <t>D3MKVM</t>
  </si>
  <si>
    <t>Szigeti Ádám Péter</t>
  </si>
  <si>
    <t>IYTB57</t>
  </si>
  <si>
    <t>Tarcza Lídia</t>
  </si>
  <si>
    <t>QM5EA9</t>
  </si>
  <si>
    <t>Vendel János Patrik</t>
  </si>
  <si>
    <t>JIZTMY</t>
  </si>
  <si>
    <t>Mihályi Péter</t>
  </si>
  <si>
    <t>Q40HYS</t>
  </si>
  <si>
    <t>Szelle Csaba</t>
  </si>
  <si>
    <t>QK9MU4</t>
  </si>
  <si>
    <t>Seregélyes Viktória</t>
  </si>
  <si>
    <t>OUK8CF</t>
  </si>
  <si>
    <t>Szurovcsák Ramóna</t>
  </si>
  <si>
    <t>N4BWZG</t>
  </si>
  <si>
    <t>Vörös Asztrik</t>
  </si>
  <si>
    <t>WYZJ90</t>
  </si>
  <si>
    <t>Gembela Gergely</t>
  </si>
  <si>
    <t>Schmieder Nándor</t>
  </si>
  <si>
    <t>E9CLSH</t>
  </si>
  <si>
    <t>Illés Ákos</t>
  </si>
  <si>
    <t>TK4K29</t>
  </si>
  <si>
    <t>Szigeti Donát</t>
  </si>
  <si>
    <t>NIIIIG</t>
  </si>
  <si>
    <t>Száraz Dániel</t>
  </si>
  <si>
    <t>GT5X34</t>
  </si>
  <si>
    <t>Kovács Tibor</t>
  </si>
  <si>
    <t>BUH29U</t>
  </si>
  <si>
    <t>Motyovszki András</t>
  </si>
  <si>
    <t>UZ472Y</t>
  </si>
  <si>
    <t>Pósa Tamás Márton</t>
  </si>
  <si>
    <t>HMX7LV</t>
  </si>
  <si>
    <t>Jósvai Máté</t>
  </si>
  <si>
    <t>GNTJWZ</t>
  </si>
  <si>
    <t>Gallik Zoltán György</t>
  </si>
  <si>
    <t>YRF3M3</t>
  </si>
  <si>
    <t>Rideg Vilmos Dániel</t>
  </si>
  <si>
    <t>E29I7E</t>
  </si>
  <si>
    <t>Cseszka Bence</t>
  </si>
  <si>
    <t>L0P1FU</t>
  </si>
  <si>
    <t>Ibrahimli Kanan</t>
  </si>
  <si>
    <t>MQE790</t>
  </si>
  <si>
    <t>Göndöcs Martin</t>
  </si>
  <si>
    <t>WUPA9P</t>
  </si>
  <si>
    <t>Janzsó Dániel</t>
  </si>
  <si>
    <t>BF2VW5</t>
  </si>
  <si>
    <t>Szrenka Mátyás</t>
  </si>
  <si>
    <t>NQZ3BI</t>
  </si>
  <si>
    <t>Barna László</t>
  </si>
  <si>
    <t>WTOVS4</t>
  </si>
  <si>
    <t>Veréb Szabolcs</t>
  </si>
  <si>
    <t>Turi Márton Zoltán</t>
  </si>
  <si>
    <t>THIPZB</t>
  </si>
  <si>
    <t>Szegletes Jakab István</t>
  </si>
  <si>
    <t>NBTWCD</t>
  </si>
  <si>
    <t>De Haan Tom</t>
  </si>
  <si>
    <t>GD4YKT</t>
  </si>
  <si>
    <t>Száller Dániel</t>
  </si>
  <si>
    <t>UJ19SJ</t>
  </si>
  <si>
    <t>Kárpáti Kristóf Soma</t>
  </si>
  <si>
    <t>ARN859</t>
  </si>
  <si>
    <t>Penk András</t>
  </si>
  <si>
    <t>N8OSF8</t>
  </si>
  <si>
    <t>Dudás Tamás Alex</t>
  </si>
  <si>
    <t>DRNME9</t>
  </si>
  <si>
    <t>Kovács Viktor</t>
  </si>
  <si>
    <t>Plaszkony Balázs</t>
  </si>
  <si>
    <t>NQ47TW</t>
  </si>
  <si>
    <t>Vas Benedek Zoltán</t>
  </si>
  <si>
    <t>WNMUG4</t>
  </si>
  <si>
    <t>Görbe Dávid</t>
  </si>
  <si>
    <t>TYJ892</t>
  </si>
  <si>
    <t>Kis Mihály Bence</t>
  </si>
  <si>
    <t>B7T8JE</t>
  </si>
  <si>
    <t>Kiss Ágoston</t>
  </si>
  <si>
    <t>Ágoston Dániel</t>
  </si>
  <si>
    <t>T95NKI</t>
  </si>
  <si>
    <t>Bányász Gábor</t>
  </si>
  <si>
    <t>Venter Máté</t>
  </si>
  <si>
    <t>QT3BQN</t>
  </si>
  <si>
    <t>Blázovics László Dr.</t>
  </si>
  <si>
    <t>Cserei Zsolt</t>
  </si>
  <si>
    <t>ANUZE6</t>
  </si>
  <si>
    <t>Hartmann Ábel</t>
  </si>
  <si>
    <t>Hamadeh Amir</t>
  </si>
  <si>
    <t>E7LDNJ</t>
  </si>
  <si>
    <t>Szántó Péter András</t>
  </si>
  <si>
    <t>C5KSYL</t>
  </si>
  <si>
    <t>Futó András Dr.</t>
  </si>
  <si>
    <t>Kálmánczhelyi Dóra</t>
  </si>
  <si>
    <t>D1DVWK</t>
  </si>
  <si>
    <t>Stumpf Péter</t>
  </si>
  <si>
    <t>Péter Bence Zoltán</t>
  </si>
  <si>
    <t>ENLH9I</t>
  </si>
  <si>
    <t>Rohrsetzer Róbert Richard</t>
  </si>
  <si>
    <t>VN48J4</t>
  </si>
  <si>
    <t>Lubics Botond</t>
  </si>
  <si>
    <t>S2OGR2</t>
  </si>
  <si>
    <t>Kéri Bálint</t>
  </si>
  <si>
    <t>E5X0XA</t>
  </si>
  <si>
    <t>Max Gyula Dr.</t>
  </si>
  <si>
    <t>Nyuli Barnabás</t>
  </si>
  <si>
    <t>T711GD</t>
  </si>
  <si>
    <t>Sásdi András</t>
  </si>
  <si>
    <t>BT3AEX</t>
  </si>
  <si>
    <t>Klaffl Attila András</t>
  </si>
  <si>
    <t>IFQQ7T</t>
  </si>
  <si>
    <t>Kurucz István</t>
  </si>
  <si>
    <t>RSY0MJ</t>
  </si>
  <si>
    <t>Szanda Márton</t>
  </si>
  <si>
    <t>GTF0NF</t>
  </si>
  <si>
    <t>Varga Dávid</t>
  </si>
  <si>
    <t>UG6U91</t>
  </si>
  <si>
    <t>Tóth Eszter</t>
  </si>
  <si>
    <t>EJH8MF</t>
  </si>
  <si>
    <t>Tevesz Gábor Dr.</t>
  </si>
  <si>
    <t>Trautsch László Kálmán</t>
  </si>
  <si>
    <t>Morvay Balázs Tibor</t>
  </si>
  <si>
    <t>Oláh István</t>
  </si>
  <si>
    <t>Kardos Gergely</t>
  </si>
  <si>
    <t>Marsi Ádám</t>
  </si>
  <si>
    <t>FGCSU9</t>
  </si>
  <si>
    <t>Harsányi Csanád Gellért</t>
  </si>
  <si>
    <t>BY74X1</t>
  </si>
  <si>
    <t>Grozev Erik Plamenov</t>
  </si>
  <si>
    <t>BB8E0J</t>
  </si>
  <si>
    <t>Nagy Márton Gábor</t>
  </si>
  <si>
    <t>XHJJWT</t>
  </si>
  <si>
    <t>Harmat Máté</t>
  </si>
  <si>
    <t>KM05P1</t>
  </si>
  <si>
    <t>Horváth Bence Domonkos</t>
  </si>
  <si>
    <t>E6T6VY</t>
  </si>
  <si>
    <t>Horváth Ágnes</t>
  </si>
  <si>
    <t>SYI1PZ</t>
  </si>
  <si>
    <t>Pál Patrik</t>
  </si>
  <si>
    <t>AIQTQW</t>
  </si>
  <si>
    <t>Tikász Lilla Emese</t>
  </si>
  <si>
    <t>HXSSPB</t>
  </si>
  <si>
    <t>Phan Viet Dung</t>
  </si>
  <si>
    <t>KYN3Q9</t>
  </si>
  <si>
    <t>Kun László Ákos</t>
  </si>
  <si>
    <t>SL42BZ</t>
  </si>
  <si>
    <t>Szécsényi Nándor</t>
  </si>
  <si>
    <t>Vígh Soma</t>
  </si>
  <si>
    <t>OCJ2KH</t>
  </si>
  <si>
    <t>Orosz Pál György</t>
  </si>
  <si>
    <t>B83O0V</t>
  </si>
  <si>
    <t>Németh Levente Álmos</t>
  </si>
  <si>
    <t>PVIX30</t>
  </si>
  <si>
    <t>Süle Zalán Attila</t>
  </si>
  <si>
    <t>IY6CT2</t>
  </si>
  <si>
    <t>Vida András</t>
  </si>
  <si>
    <t>N3SIT4</t>
  </si>
  <si>
    <t>Bőczén Koppány András</t>
  </si>
  <si>
    <t>H1A0IA</t>
  </si>
  <si>
    <t>Mayer Dávid Gergő</t>
  </si>
  <si>
    <t>BWPAFC</t>
  </si>
  <si>
    <t>Ajkler Ákos Szabolcs</t>
  </si>
  <si>
    <t>TEUL0U</t>
  </si>
  <si>
    <t>Pászty Kristóf Áron</t>
  </si>
  <si>
    <t>LH3ASY</t>
  </si>
  <si>
    <t>Müller Péter</t>
  </si>
  <si>
    <t>TM1S67</t>
  </si>
  <si>
    <t>Szegedi Balázs Márk</t>
  </si>
  <si>
    <t>YTPENK</t>
  </si>
  <si>
    <t>Buránszki Domonkos</t>
  </si>
  <si>
    <t>CNE27B</t>
  </si>
  <si>
    <t>Prantner Zoltán</t>
  </si>
  <si>
    <t>HM9T3V</t>
  </si>
  <si>
    <t>Széll Sámuel Marcell</t>
  </si>
  <si>
    <t>BL046F</t>
  </si>
  <si>
    <t>Straub Alexander</t>
  </si>
  <si>
    <t>DINZ55</t>
  </si>
  <si>
    <t>Tamásy Gergely Márton</t>
  </si>
  <si>
    <t>G1NYGN</t>
  </si>
  <si>
    <t>Lipcsei Dániel</t>
  </si>
  <si>
    <t>H847OK</t>
  </si>
  <si>
    <t>Kovács Zsombor</t>
  </si>
  <si>
    <t>DDEZWD</t>
  </si>
  <si>
    <t>Farkas Péter Károly</t>
  </si>
  <si>
    <t>UBZN8Q</t>
  </si>
  <si>
    <t>Bayer Ákos</t>
  </si>
  <si>
    <t>U9DTUU</t>
  </si>
  <si>
    <t>Csákai Bence Huba</t>
  </si>
  <si>
    <t>Q8CHHW</t>
  </si>
  <si>
    <t>Babics Ádám</t>
  </si>
  <si>
    <t>RQR669</t>
  </si>
  <si>
    <t>Sztancs László</t>
  </si>
  <si>
    <t>LDAG8S</t>
  </si>
  <si>
    <t>Tolnai Martin</t>
  </si>
  <si>
    <t>CMX3M3</t>
  </si>
  <si>
    <t>Kovács István</t>
  </si>
  <si>
    <t>MQGC2F</t>
  </si>
  <si>
    <t>Kékegyi Márk</t>
  </si>
  <si>
    <t>CY1BLZ</t>
  </si>
  <si>
    <t>Varjasi István Dr.</t>
  </si>
  <si>
    <t>Sütő Zoltán Dr.</t>
  </si>
  <si>
    <t>Szőke Zsombor István</t>
  </si>
  <si>
    <t>N9YWA1</t>
  </si>
  <si>
    <t>Marák Levente</t>
  </si>
  <si>
    <t>K2DE0K</t>
  </si>
  <si>
    <t>Haag Domonkos</t>
  </si>
  <si>
    <t>Z4EUJV</t>
  </si>
  <si>
    <t>Jordán Levente Tibor</t>
  </si>
  <si>
    <t>ELMHX3</t>
  </si>
  <si>
    <t>Dashkin Marsel</t>
  </si>
  <si>
    <t>ROSQ9A</t>
  </si>
  <si>
    <t>Lawal Zainab Opemipo</t>
  </si>
  <si>
    <t>Q493JD</t>
  </si>
  <si>
    <t>Machado De La Torre James</t>
  </si>
  <si>
    <t>CZQAEM</t>
  </si>
  <si>
    <t>Abdalla Rahma Raef Mohamed Mohamed</t>
  </si>
  <si>
    <t>L2E9GT</t>
  </si>
  <si>
    <t>Kuti Áron</t>
  </si>
  <si>
    <t>D84PZN</t>
  </si>
  <si>
    <t>Baki Bence István</t>
  </si>
  <si>
    <t>BOIR4K</t>
  </si>
  <si>
    <t>Mészáros András</t>
  </si>
  <si>
    <t>BSBK18</t>
  </si>
  <si>
    <t>Mohácsi Ákos</t>
  </si>
  <si>
    <t>VTWDGF</t>
  </si>
  <si>
    <t>Bihercz Lóránt</t>
  </si>
  <si>
    <t>JSW8HF</t>
  </si>
  <si>
    <t>Tulok Sára</t>
  </si>
  <si>
    <t>VWNVT6</t>
  </si>
  <si>
    <t>Holló Csaba</t>
  </si>
  <si>
    <t>MSESUZ</t>
  </si>
  <si>
    <t>Mészáros Barna</t>
  </si>
  <si>
    <t>PRYJJV</t>
  </si>
  <si>
    <t>Szabó-Feltóthy Pál</t>
  </si>
  <si>
    <t>YQ9D8Q</t>
  </si>
  <si>
    <t>Gergely Mátyás</t>
  </si>
  <si>
    <t>X9VG6O</t>
  </si>
  <si>
    <t>Gyöngyösi Ákos</t>
  </si>
  <si>
    <t>B04G6C</t>
  </si>
  <si>
    <t>Csutora Lilla</t>
  </si>
  <si>
    <t>GIQBWP</t>
  </si>
  <si>
    <t>Hőgyes Krisztián</t>
  </si>
  <si>
    <t>D85S3M</t>
  </si>
  <si>
    <t>Széll Adrián Bence</t>
  </si>
  <si>
    <t>BPE3HL</t>
  </si>
  <si>
    <t>Prinz Márk</t>
  </si>
  <si>
    <t>XF7A69</t>
  </si>
  <si>
    <t>Simon Tamás Dorián</t>
  </si>
  <si>
    <t>DXD80O</t>
  </si>
  <si>
    <t>Szászvári Márton Péter</t>
  </si>
  <si>
    <t>OKR8HA</t>
  </si>
  <si>
    <t>Vörös Vencel Boldizsár</t>
  </si>
  <si>
    <t>EV68WM</t>
  </si>
  <si>
    <t>Tasi Gergő</t>
  </si>
  <si>
    <t>BRY27P</t>
  </si>
  <si>
    <t>Golyha Tamás Zsolt</t>
  </si>
  <si>
    <t>A5CS6I</t>
  </si>
  <si>
    <t>Salti Hani</t>
  </si>
  <si>
    <t>RU0BNQ</t>
  </si>
  <si>
    <t>Molnár Márk Sándor</t>
  </si>
  <si>
    <t>LNID5S</t>
  </si>
  <si>
    <t>Pásztor Dániel</t>
  </si>
  <si>
    <t>Nagy Dávid</t>
  </si>
  <si>
    <t>FLBTBB</t>
  </si>
  <si>
    <t>Rahmi Dániel</t>
  </si>
  <si>
    <t>WIFRTR</t>
  </si>
  <si>
    <t>Zolcsák Gergő</t>
  </si>
  <si>
    <t>P1CTMD</t>
  </si>
  <si>
    <t>Starosta Gergő Bence</t>
  </si>
  <si>
    <t>YJRFP9</t>
  </si>
  <si>
    <t>Bolgár Zsófia</t>
  </si>
  <si>
    <t>PETJ0Q</t>
  </si>
  <si>
    <t>Pifkó Barna</t>
  </si>
  <si>
    <t>IUBBRI</t>
  </si>
  <si>
    <t>Zalaváry Dániel</t>
  </si>
  <si>
    <t>D4006T</t>
  </si>
  <si>
    <t>Tomecz Tamás</t>
  </si>
  <si>
    <t>E3W5KR</t>
  </si>
  <si>
    <t>Taher Mured Abdulghani</t>
  </si>
  <si>
    <t>B6RXU1</t>
  </si>
  <si>
    <t>Adnan Zahraa Haider</t>
  </si>
  <si>
    <t>EVYZZM</t>
  </si>
  <si>
    <t>Mohammad Saleem Dr.</t>
  </si>
  <si>
    <t>Zhang Jinjing</t>
  </si>
  <si>
    <t>M5UG9O</t>
  </si>
  <si>
    <t>Bakos Gergő</t>
  </si>
  <si>
    <t>NID4HA</t>
  </si>
  <si>
    <t>Demény Tamás Attila</t>
  </si>
  <si>
    <t>A8LNH3</t>
  </si>
  <si>
    <t>Gibicsár Gergő</t>
  </si>
  <si>
    <t>M44MK1</t>
  </si>
  <si>
    <t>Mészáros Márk</t>
  </si>
  <si>
    <t>ER6NSU</t>
  </si>
  <si>
    <t>Spertli Krisztián</t>
  </si>
  <si>
    <t>IYX0EQ</t>
  </si>
  <si>
    <t>Szakács Olivér</t>
  </si>
  <si>
    <t>GAA9DD</t>
  </si>
  <si>
    <t>Moré Áron</t>
  </si>
  <si>
    <t>C0FUJI</t>
  </si>
  <si>
    <t>Szebedy Géza István</t>
  </si>
  <si>
    <t>IB2BQD</t>
  </si>
  <si>
    <t>Pallos Gábor György</t>
  </si>
  <si>
    <t>QN1SXN</t>
  </si>
  <si>
    <t>Lénárt Levente</t>
  </si>
  <si>
    <t>YIWROG</t>
  </si>
  <si>
    <t>Bereczki Máté</t>
  </si>
  <si>
    <t>M975OK</t>
  </si>
  <si>
    <t>Horváth Gellért</t>
  </si>
  <si>
    <t>BFK4J4</t>
  </si>
  <si>
    <t>Körtvélyessy László</t>
  </si>
  <si>
    <t>GWCYIK</t>
  </si>
  <si>
    <t>Tóth Kincső Eszter</t>
  </si>
  <si>
    <t>D28B59</t>
  </si>
  <si>
    <t>Mankge Simphiwe Harvey</t>
  </si>
  <si>
    <t>FSL7CU</t>
  </si>
  <si>
    <t>Bärnkopf Áron Salamon</t>
  </si>
  <si>
    <t>C3FBCD</t>
  </si>
  <si>
    <t>Gulig József Máté</t>
  </si>
  <si>
    <t>D73IKB</t>
  </si>
  <si>
    <t>Szekeres Alex</t>
  </si>
  <si>
    <t>CCNZI2</t>
  </si>
  <si>
    <t>Büki Kálmán</t>
  </si>
  <si>
    <t>MOZH9G</t>
  </si>
  <si>
    <t>Czeglédi Dániel</t>
  </si>
  <si>
    <t>CDEBFX</t>
  </si>
  <si>
    <t>Fehér Anna</t>
  </si>
  <si>
    <t>WE0JN9</t>
  </si>
  <si>
    <t>Miczki Márk</t>
  </si>
  <si>
    <t>DO9MAO</t>
  </si>
  <si>
    <t>Natkay Botond</t>
  </si>
  <si>
    <t>H6S9BC</t>
  </si>
  <si>
    <t>Tima Patrik Richárd</t>
  </si>
  <si>
    <t>K8OTTI</t>
  </si>
  <si>
    <t>VZ9AS0</t>
  </si>
  <si>
    <t>Bárányos Petra Sári</t>
  </si>
  <si>
    <t>JAJ6AD</t>
  </si>
  <si>
    <t>Kovács Dávid</t>
  </si>
  <si>
    <t>FYEAS5</t>
  </si>
  <si>
    <t>Taganova Altynjemal</t>
  </si>
  <si>
    <t>JP0A3K</t>
  </si>
  <si>
    <t>Anderlik Sándor</t>
  </si>
  <si>
    <t>ZSO5CM</t>
  </si>
  <si>
    <t>Horváth Ágoston</t>
  </si>
  <si>
    <t>PGBDTC</t>
  </si>
  <si>
    <t>Csirmaz Gáspár</t>
  </si>
  <si>
    <t>DVSBKJ</t>
  </si>
  <si>
    <t>Somogyi Benedek</t>
  </si>
  <si>
    <t>GPJR54</t>
  </si>
  <si>
    <t>Sajben Dániel</t>
  </si>
  <si>
    <t>VX4USX</t>
  </si>
  <si>
    <t>Kun Ferenc Ágoston</t>
  </si>
  <si>
    <t>GS0N0V</t>
  </si>
  <si>
    <t>Tóth Álmos Zoltán</t>
  </si>
  <si>
    <t>G3PNZL</t>
  </si>
  <si>
    <t>Pálmai Flórián</t>
  </si>
  <si>
    <t>BW4XQ7</t>
  </si>
  <si>
    <t>Simon Gábor</t>
  </si>
  <si>
    <t>Szalay Gergő</t>
  </si>
  <si>
    <t>RHJR2H</t>
  </si>
  <si>
    <t>Bruncsics Bálint</t>
  </si>
  <si>
    <t>CQIA5X</t>
  </si>
  <si>
    <t>Dombóvári Bálint</t>
  </si>
  <si>
    <t>E0PKKH</t>
  </si>
  <si>
    <t>Csegzi Lóránd Márton</t>
  </si>
  <si>
    <t>CM8F9W</t>
  </si>
  <si>
    <t>Mizser Ádám Zoltán</t>
  </si>
  <si>
    <t>SHKGZW</t>
  </si>
  <si>
    <t>Kovács Donát</t>
  </si>
  <si>
    <t>BYVO9O</t>
  </si>
  <si>
    <t>Szabó Gergő Barnabás</t>
  </si>
  <si>
    <t>AFXLJG</t>
  </si>
  <si>
    <t>Dancs Bertalan</t>
  </si>
  <si>
    <t>APY9AN</t>
  </si>
  <si>
    <t>Molnár Balázs</t>
  </si>
  <si>
    <t>W55IO8</t>
  </si>
  <si>
    <t>Gulyás Bence</t>
  </si>
  <si>
    <t>E5P1LO</t>
  </si>
  <si>
    <t>Nagy László</t>
  </si>
  <si>
    <t>BC7TB3</t>
  </si>
  <si>
    <t>Németh Balázs</t>
  </si>
  <si>
    <t>M8PH6J</t>
  </si>
  <si>
    <t>Schmidt Gergő András</t>
  </si>
  <si>
    <t>S2Q2D4</t>
  </si>
  <si>
    <t>Benkő Orsolya</t>
  </si>
  <si>
    <t>DOGB3R</t>
  </si>
  <si>
    <t>Sánta Dániel</t>
  </si>
  <si>
    <t>OGLSI2</t>
  </si>
  <si>
    <t>Jáky Dániel Fülöp</t>
  </si>
  <si>
    <t>C9N6ZK</t>
  </si>
  <si>
    <t>Móczár Dániel László</t>
  </si>
  <si>
    <t>CHYD8H</t>
  </si>
  <si>
    <t>Bor Csenge Nóra</t>
  </si>
  <si>
    <t>LI7BDT</t>
  </si>
  <si>
    <t>Leszkovszki Nóra</t>
  </si>
  <si>
    <t>AOM6DL</t>
  </si>
  <si>
    <t>Nagy Márk</t>
  </si>
  <si>
    <t>JBCZP8</t>
  </si>
  <si>
    <t>Szokoly-Angyal Armand</t>
  </si>
  <si>
    <t>VN450W</t>
  </si>
  <si>
    <t>Nagy Gergely</t>
  </si>
  <si>
    <t>HC1QJP</t>
  </si>
  <si>
    <t>Rékó Márton</t>
  </si>
  <si>
    <t>KAMFNQ</t>
  </si>
  <si>
    <t>Saad Mazen Mohsen</t>
  </si>
  <si>
    <t>PH8BF7</t>
  </si>
  <si>
    <t>Szép András</t>
  </si>
  <si>
    <t>GZXGUQ</t>
  </si>
  <si>
    <t>Papp Levente</t>
  </si>
  <si>
    <t>HV0CRH</t>
  </si>
  <si>
    <t>Rácz Dominik István</t>
  </si>
  <si>
    <t>X8SDVC</t>
  </si>
  <si>
    <t>Bakó Péter</t>
  </si>
  <si>
    <t>OTQVE5</t>
  </si>
  <si>
    <t>Lévai Márton</t>
  </si>
  <si>
    <t>C7OKIE</t>
  </si>
  <si>
    <t>Dézsenyi Balázs Zoltán</t>
  </si>
  <si>
    <t>JJSFIL</t>
  </si>
  <si>
    <t>Kurtos András</t>
  </si>
  <si>
    <t>BLDI3I</t>
  </si>
  <si>
    <t>Személyi Balázs András</t>
  </si>
  <si>
    <t>ROV43C</t>
  </si>
  <si>
    <t>Demők Döme Máté</t>
  </si>
  <si>
    <t>BGVPVW</t>
  </si>
  <si>
    <t>Szekeres Márton</t>
  </si>
  <si>
    <t>CMTORT</t>
  </si>
  <si>
    <t>Benedek Olivér</t>
  </si>
  <si>
    <t>C2JUZ6</t>
  </si>
  <si>
    <t>Mucsi Attila Gábor</t>
  </si>
  <si>
    <t>HEZNU6</t>
  </si>
  <si>
    <t>Piller Dániel</t>
  </si>
  <si>
    <t>RXBESJ</t>
  </si>
  <si>
    <t>Mikola Bálint István</t>
  </si>
  <si>
    <t>TCV0Y9</t>
  </si>
  <si>
    <t>Pokó Kincső Réka</t>
  </si>
  <si>
    <t>MKIIDG</t>
  </si>
  <si>
    <t>Hajtaieb Yosra</t>
  </si>
  <si>
    <t>HOOS0X</t>
  </si>
  <si>
    <t>Yuldashev Marsel</t>
  </si>
  <si>
    <t>DUZJ06</t>
  </si>
  <si>
    <t>Tolobekov Ibrakhim</t>
  </si>
  <si>
    <t>GQ1UJJ</t>
  </si>
  <si>
    <t>Al-Raoush Basel Eyad Ebraheem</t>
  </si>
  <si>
    <t>SDR1AO</t>
  </si>
  <si>
    <t>Buyanjargal Byambajav</t>
  </si>
  <si>
    <t>DBMZD1</t>
  </si>
  <si>
    <t>Tian Chuanxingzi</t>
  </si>
  <si>
    <t>XB4NSE</t>
  </si>
  <si>
    <t>Yoshida Ai</t>
  </si>
  <si>
    <t>FPYYT9</t>
  </si>
  <si>
    <t>Khalifa Ahmed Osama Mohamed</t>
  </si>
  <si>
    <t>TH642Y</t>
  </si>
  <si>
    <t>Hussein Majed Jamal Majed</t>
  </si>
  <si>
    <t>YRGJAF</t>
  </si>
  <si>
    <t>Hammad Sara Abdelhakim Abdelrehim Ahmed Saad</t>
  </si>
  <si>
    <t>EMCKP1</t>
  </si>
  <si>
    <t>Akkila Dareen Mohammed</t>
  </si>
  <si>
    <t>IZHXR5</t>
  </si>
  <si>
    <t>Sharma Shobhit</t>
  </si>
  <si>
    <t>U5FT4N</t>
  </si>
  <si>
    <t>Eldeeb Mohamed Nagy</t>
  </si>
  <si>
    <t>IJV1HI</t>
  </si>
  <si>
    <t>Roushan</t>
  </si>
  <si>
    <t>CTPZAA</t>
  </si>
  <si>
    <t>On-line aláírás-hitelesítési rendszer fejlesztése</t>
  </si>
  <si>
    <t>Development of an on-line signature verification system</t>
  </si>
  <si>
    <t>Utazások tervezését támogató alkalmazás fejlesztése Android platformon</t>
  </si>
  <si>
    <t>Development of a trip planner application on the Android platform</t>
  </si>
  <si>
    <t>Projektfeladatok menedzselését támogató Android alkalmazás fejlesztése és üzemeltetése</t>
  </si>
  <si>
    <t>Development and operation of an Android application supporting project task management</t>
  </si>
  <si>
    <t>Kalória bevitel és égetés számláló alkalmazás készítése</t>
  </si>
  <si>
    <t>Creating a calorie intake and burn counter application</t>
  </si>
  <si>
    <t>Generatív AI használata kiterjesztett valóság alkalmazásban</t>
  </si>
  <si>
    <t>Augmented Reality application development using generative AI</t>
  </si>
  <si>
    <t>Önkéntesmenedzsment alkalmazás fejlesztése</t>
  </si>
  <si>
    <t>Development of a Volunteer Management Application</t>
  </si>
  <si>
    <t>Automatizált kórházi műszaktervezés: A papíralapú rendszer digitalizálása</t>
  </si>
  <si>
    <t>Automated Hospital Shift Scheduling: Digitising the Paper-Based System</t>
  </si>
  <si>
    <t>BANG! stílusú mobil kártyajáték fejlesztése</t>
  </si>
  <si>
    <t>Development of a BANG!-style Mobile Card Game</t>
  </si>
  <si>
    <t>Betegközpontú ellátás minőségének javítását támogató SQL lekérdező rendszer kiépítése</t>
  </si>
  <si>
    <t>Building an SQL query system to support the improvement of patient-centered care quality</t>
  </si>
  <si>
    <t>Digital Asset Library menedzsment rendszer fejlesztése VFX stúdiók számára</t>
  </si>
  <si>
    <t>Development of a Digital Asset Library management system for VFX studios</t>
  </si>
  <si>
    <t>Dokumentumszerkesztő könyvtár mobil platformra, integrált eseménykövető és analitikai rendszerrel</t>
  </si>
  <si>
    <t>Document editor library for mobile platforms with integrated event tracking and analytics system</t>
  </si>
  <si>
    <t>Egybérlős webes rendszer megvalósítása izolált szervereken</t>
  </si>
  <si>
    <t>Implementing single tenant hosting on isolated servers</t>
  </si>
  <si>
    <t>Fordító és virtuális gép készítés</t>
  </si>
  <si>
    <t>Creating a compiler and a virtual machine</t>
  </si>
  <si>
    <t>Full-stack alapú készletgazdálkodási és ügyviteli rendszer fejlesztése</t>
  </si>
  <si>
    <t>Full-stack development of a stock management and procuration system</t>
  </si>
  <si>
    <t>Full-stack webes és mobil applikáció fejlesztése oktatás szervezéshez</t>
  </si>
  <si>
    <t>Full-stack development of a web and mobile application for education management</t>
  </si>
  <si>
    <t>Sablonvezérelt weboldal-generáló SaaS platform fejlesztése</t>
  </si>
  <si>
    <t>Development of a template-driven website generator SaaS platform</t>
  </si>
  <si>
    <t>Full-stack webalkalmazás fejlesztése szépségápolási szolgáltatók számára</t>
  </si>
  <si>
    <t>Development of a full-stack webapplication for beauty services</t>
  </si>
  <si>
    <t>Jelnyelv oktató rendszer fejlesztése mesterséges intelligencia algoritmusokkal</t>
  </si>
  <si>
    <t>Artificial Intelligence driven system development for educational sign language translation</t>
  </si>
  <si>
    <t>Háztartásvezetést támogató alkalmazás fejlesztése</t>
  </si>
  <si>
    <t>Household management support application development</t>
  </si>
  <si>
    <t>Időjárás szolgáltató szerver és monitoring felület megvalósítása</t>
  </si>
  <si>
    <t>Developing the server side and the monitoring UI of a weather service</t>
  </si>
  <si>
    <t>Időpontfoglaló rendszer megvalósítása mikroszolgáltatás alapokon</t>
  </si>
  <si>
    <t>Implementation of a microservices-based online appointment booking system</t>
  </si>
  <si>
    <t>Járműves telemetria rendszer szerver- és alkalmazásoldali fejlesztése</t>
  </si>
  <si>
    <t>Server- and application-side development for a vehicle telemetry system</t>
  </si>
  <si>
    <t>Kognitív képességeket felmérő keretrendszer Android platformon</t>
  </si>
  <si>
    <t>Framework for Measuring Cognitive Abilities on Android Platform</t>
  </si>
  <si>
    <t>Skálázható Android keretrendszer kognitív képességeket mérő játékok fejlesztéséhez</t>
  </si>
  <si>
    <t>Scalable Android Framework for Cognitive Ability Assessment Games</t>
  </si>
  <si>
    <t>IQ Arena alkalmazás fejlesztése</t>
  </si>
  <si>
    <t>Development of an IQ Arena application</t>
  </si>
  <si>
    <t>Közösségi média alkalmazás fejlesztése Kotlin Multiplatform keretrendszerben</t>
  </si>
  <si>
    <t>Social media application development with Kotlin Multiplatform framework</t>
  </si>
  <si>
    <t>Mesterséges Intelligencia alapú generatív társasjáték fejlesztése</t>
  </si>
  <si>
    <t>Developing a Board Game Application with Generative Artificial Intelligence</t>
  </si>
  <si>
    <t>MI technológiák vizsgálata jogi megfelelőségi elemzést támogató RAG rendszer keretében</t>
  </si>
  <si>
    <t>Investigation of AI Technologies within a RAG System Supporting Legal Compliance Analysis</t>
  </si>
  <si>
    <t>Modern kurzus kezelő és jelenlét felügyelő portál tervezése és megvalósítása</t>
  </si>
  <si>
    <t>Design and Implementation of a Modern Course Management and Attendance Supervision Portal</t>
  </si>
  <si>
    <t>Nagy Felhasználói Bázisú Applikáció Migrációja Kotlin Multiplatformra</t>
  </si>
  <si>
    <t>Migration of a Large User Base Application to Kotlin Multiplatform</t>
  </si>
  <si>
    <t>Oktatásszervező portál tervezése és megvalósítása modern tartalomkezlő komponensekkel</t>
  </si>
  <si>
    <t>Design and implementation of an education management portal with a modern content management components</t>
  </si>
  <si>
    <t>PediPont - Lábgyógyászati praxist támogató alkalmazás fejlesztése Android platformra</t>
  </si>
  <si>
    <t>PediPont - Development of a Podiatry Practice Supporting Application for Android Platform</t>
  </si>
  <si>
    <t>Felhasználói preferencia alapú tartalom ajánló rendszer</t>
  </si>
  <si>
    <t>Development of a user preference-based content recommendation system</t>
  </si>
  <si>
    <t>Multitenant sport CRM rendszer frontendjének fejlesztése React alapon</t>
  </si>
  <si>
    <t>Development of the frontend of a multitenant sports CRM system based on React</t>
  </si>
  <si>
    <t>Multitenant sport CRM rendszer backendjének fejlesztése ASP.NET MVC alapokon</t>
  </si>
  <si>
    <t>Development of the backend of a multitenant sport CRM system based on ASP.NET MVC</t>
  </si>
  <si>
    <t>Testreszabható feladatnyilvántartó alkalmazás fejlesztése .NET és Angular platformokon</t>
  </si>
  <si>
    <t>Development of a customizable task management application on .NET and Angular platforms</t>
  </si>
  <si>
    <t>Szikvíz kereskedő alkalmazás fejlesztése React Native platformon</t>
  </si>
  <si>
    <t>Development of a soda-water merchant application on React Native platform</t>
  </si>
  <si>
    <t>Projektmenedzsment rendszer fejlesztése Spring, Angular és Android platformon</t>
  </si>
  <si>
    <t>Developing a project management system on Spring, Angular and Android platforms</t>
  </si>
  <si>
    <t>Retrieval Augmented Generation rendszer fejlesztése android platformon</t>
  </si>
  <si>
    <t>Retrieval Augmented Generation System Development on Android Platform</t>
  </si>
  <si>
    <t>Unit teszt generálást segítő szakterületi nyelv kidolgozása</t>
  </si>
  <si>
    <t>Developing a domain-specific language for unit test generation</t>
  </si>
  <si>
    <t>Szakember kereső webalkalmazás készítése React alapokon</t>
  </si>
  <si>
    <t>Implementing a handyman search application in React</t>
  </si>
  <si>
    <t>Programozási platform Latexhez bővíthető nyelvi elemekkel</t>
  </si>
  <si>
    <t>Programming platform for Latex with extendable language elements</t>
  </si>
  <si>
    <t>Szimulált közműmenedzsment-rendszer ajánlómotorral</t>
  </si>
  <si>
    <t>Simulated Utility Management System with a Recommendation Engine</t>
  </si>
  <si>
    <t>Szoftverfejlesztés Android platformon</t>
  </si>
  <si>
    <t>Implementing an Android application</t>
  </si>
  <si>
    <t>Szoftverfejlesztés React keretrendszerrel</t>
  </si>
  <si>
    <t>Software Development in React Framework</t>
  </si>
  <si>
    <t>Társasjáték készítése Unity keretrendszer segítségével</t>
  </si>
  <si>
    <t>Boardgame Development Using Unity Framework</t>
  </si>
  <si>
    <t>Mesterséges intelligenciával támogatott asszisztens keretrendszer megvalósítása céges környezetben</t>
  </si>
  <si>
    <t>Implementation of an AI-Powered Assistant Framework in an Enterprise Environment</t>
  </si>
  <si>
    <t>Honfoglaló többjátékos kvíz játék készítése Nagy Nyelvi Modell asszisztálásával</t>
  </si>
  <si>
    <t>Creating a Multiplayer Quiz Game with the Assistance of Large Language Models</t>
  </si>
  <si>
    <t>Webalkalmazás fejlesztése gép tanulási folyamatok támogatására</t>
  </si>
  <si>
    <t>Web application development for supporting machine learning tasks</t>
  </si>
  <si>
    <t>Számítógép konfiguráló és alkatrész kezelő webalkalmazás készítése</t>
  </si>
  <si>
    <t>Creating a computer configuration and parts management web application</t>
  </si>
  <si>
    <t>Valós idejű csevegési funkcióval rendelkező e-kereskedelmi platform fejlesztése</t>
  </si>
  <si>
    <t>Developing an E-Commerce Platform with Real-Time Chat Functionality</t>
  </si>
  <si>
    <t>angol</t>
  </si>
  <si>
    <t>Webes E2E tesztek automatizálása</t>
  </si>
  <si>
    <t>Automated web-based E2E tests</t>
  </si>
  <si>
    <t>Háromfázisú kétszintű feszültség inverter kapcsolási holtidő kompenzációja</t>
  </si>
  <si>
    <t>Deadtime compensation og three phase two level voltage source inverters</t>
  </si>
  <si>
    <t>4 tengelyes quadcopter fejlesztése és irányítása</t>
  </si>
  <si>
    <t>Design and Control of an Unmanned Aerial Vehicle</t>
  </si>
  <si>
    <t>D osztályú erősítő tervezése</t>
  </si>
  <si>
    <t>Class D amplifier design</t>
  </si>
  <si>
    <t>Dinamikus teljesítményfélvezető teszter modellezése</t>
  </si>
  <si>
    <t>Digital Twin of a Dynamic Power Semiconductor Tester</t>
  </si>
  <si>
    <t>DCDC konverter tervezése gallium-nitrid félvezetővel</t>
  </si>
  <si>
    <t>GaN based DCDC converter</t>
  </si>
  <si>
    <t>Hajtásinverter tervezése és irányitása</t>
  </si>
  <si>
    <t>Design and control of a drive inverter</t>
  </si>
  <si>
    <t>Hordozható tápegység tervezése</t>
  </si>
  <si>
    <t>Portable power supply design</t>
  </si>
  <si>
    <t>Interaktív, többrobotos navigációs tesztrendszer megvalósítása</t>
  </si>
  <si>
    <t>Implementation of an interactive, multi-robot navigation test system</t>
  </si>
  <si>
    <t>Kis késleltetésű videoátviteli rendszer fejlesztése</t>
  </si>
  <si>
    <t>Development of a Low Latency Video Transmission System</t>
  </si>
  <si>
    <t>Légellátó eszköz szoftverének újratervezése és bővítése</t>
  </si>
  <si>
    <t>Redesign and development of a Railway Air Supply Device software</t>
  </si>
  <si>
    <t>Megerősítéses tanulás a robotikában</t>
  </si>
  <si>
    <t>Reinforcement learning in robotics</t>
  </si>
  <si>
    <t>Mobilalkalmazás-fejlesztés járműves telemetria rendszerhez</t>
  </si>
  <si>
    <t>Mobile Application Development for a Vehicle Telemetry System</t>
  </si>
  <si>
    <t>Nyomásimpulzus-alapú tesztrendszer fejlesztése autóipari nyomásszenzorok dinamikus karakterisztikájának mérésére</t>
  </si>
  <si>
    <t>Development of a pressure pulse-based test system for measuring the dynamic characteristics of automotive pressure sensors</t>
  </si>
  <si>
    <t>Okos szerszámosláda</t>
  </si>
  <si>
    <t>Smart toolbox</t>
  </si>
  <si>
    <t>Oktatásszervezési feladatokat támogató webportál fejlesztése</t>
  </si>
  <si>
    <t>Web Portal Development for Supporting Educational Tasks</t>
  </si>
  <si>
    <t>Pályatervező algoritmus fejlesztése autonóm parkoláshoz</t>
  </si>
  <si>
    <t>Trajectory Planning Algorithm Development for Autonomous Parking</t>
  </si>
  <si>
    <t>Smart inverter tervezése</t>
  </si>
  <si>
    <t>Smart inverter development</t>
  </si>
  <si>
    <t>Szünetmentes tápegység fejlesztése</t>
  </si>
  <si>
    <t>Development of an Uninterrupted Power Supply</t>
  </si>
  <si>
    <t>Tesztkörnyezet fejlesztése elektromechanikus vasúti fékrendszer teszteléséhez</t>
  </si>
  <si>
    <t>Development of a test environment for testing electro-mechanical railway brake systems</t>
  </si>
  <si>
    <t>Áramköri parazita elemek hatása a térvezérlésű tranzisztorok kapcsolási jellemzőire</t>
  </si>
  <si>
    <t>Effect of circuit parasitic components on the switching characteristics of field effect transistors</t>
  </si>
  <si>
    <t>Mélytanulás alkalmazása fizika informált környezetben</t>
  </si>
  <si>
    <t>Application of deep learning in a physics-informed environment</t>
  </si>
  <si>
    <t>Generative AI agyi (EEG/fMRI) adatfeldolgozásra</t>
  </si>
  <si>
    <t>Generative AI for brain (EEG/fMRI) data processing</t>
  </si>
  <si>
    <t>Gépi látás és robottechnika alkalmazása a gyakorlatban</t>
  </si>
  <si>
    <t>Applying machine vision and robotics in practice</t>
  </si>
  <si>
    <t>Integrált meghajtó áramkör tervezése állandó mágneses szervórendszerhez</t>
  </si>
  <si>
    <t>Development of integrated drive circuit for permanent magnet servo system</t>
  </si>
  <si>
    <t>Két tengelyű forgóasztal tervezése gyorsulásmérő szenzorok karakterizálásához</t>
  </si>
  <si>
    <t>Design of two-axis rotary table for the characterization of accelerometer sensors</t>
  </si>
  <si>
    <t>Korszerű rajintelligencia módszerek vizsgálata villamos hajtások szabályozásában</t>
  </si>
  <si>
    <t>Investigation of modern swarm optimization techniques for controlling electric drives</t>
  </si>
  <si>
    <t>Kvíz generálás szöveges dokumentumból MI segítségével</t>
  </si>
  <si>
    <t>Generating quiz from text document using AI</t>
  </si>
  <si>
    <t>Oktatási célú mobil manipulátor fejlesztése</t>
  </si>
  <si>
    <t>Developing a Mobile Manimulator for Educational Purposes</t>
  </si>
  <si>
    <t>Sensorless motorhajtás indító algoritmusának vizsgálata és megvalósítása</t>
  </si>
  <si>
    <t>Investigation and implementation of sensorless starting methods for electric machine</t>
  </si>
  <si>
    <t>Tudományos hálózatok elemzése: társszerzőségi és hivatkozási hálózatok vizsgálata</t>
  </si>
  <si>
    <t>Analyzing scientific networks: investigating co-authorship and citation networks</t>
  </si>
  <si>
    <t>Szenzoros napkövetés mikroprocesszoros irányítással</t>
  </si>
  <si>
    <t>Sensor-based sun tracking with microprocessor control</t>
  </si>
  <si>
    <t>RobonAUT versenypálya virtuális szimulációja autonóm vezetéshez</t>
  </si>
  <si>
    <t>RobonAUT virtual racetrack simulation for autonomous driving</t>
  </si>
  <si>
    <t>Multifunkcionális CAN interfész kártya fejlesztése</t>
  </si>
  <si>
    <t>Development of a multifunctional CAN interface card</t>
  </si>
  <si>
    <t>Forgószelep pozíció szabályozása BLDC motor segítségével</t>
  </si>
  <si>
    <t>Control of rotary valve position using a BLDC motor</t>
  </si>
  <si>
    <t>IMU alapú pozícióbecslő eszköz fejlesztés gépi tanulással DEM talajmodellek kalibrációjához</t>
  </si>
  <si>
    <t>Development of an IMU-Based Position Estimation Device Using Machine Learning for the Calibration of DEM Soil Models</t>
  </si>
  <si>
    <t>IOT alapú mérőmodul fejlesztése</t>
  </si>
  <si>
    <t>Development of an IOT-based measurement module</t>
  </si>
  <si>
    <t>Ipari automatizálási feladatok megvalósítása Siemens PLC-vel</t>
  </si>
  <si>
    <t>Implementation of industrial automation tasks with Siemens PLC</t>
  </si>
  <si>
    <t>Állandómágneses Szinkronmotor Szabályozása Mesterséges Intelligencia Segítségével</t>
  </si>
  <si>
    <t>Artificial Intelligence-Aided Control of Permanent Magnet Synchronous Motors</t>
  </si>
  <si>
    <t>Napelemcellák Mesterséges Intelligencia Alapú Sabályozása</t>
  </si>
  <si>
    <t>Artificial Intelligence based Control of Solar Cells</t>
  </si>
  <si>
    <t>Ergonómikus billentyűzet tervezése és megvalósítása</t>
  </si>
  <si>
    <t>Design and implementation of an ergonomic keyboard</t>
  </si>
  <si>
    <t>Szabályozott villamos hajtások szimulációja Phyton alapú környezetben</t>
  </si>
  <si>
    <t>Simulation of Controlled Electric Drives in a Python-Based Environment</t>
  </si>
  <si>
    <t>Állandómágneses Szinkrongépek Modell Prediktív Szabályozása</t>
  </si>
  <si>
    <t>Model Predictive Control of Permanent Magnet Synchronous Machines</t>
  </si>
  <si>
    <t>USB-s akkumulátortöltő tervezése és megvalósítása</t>
  </si>
  <si>
    <t>Design and implementation of a USB battery charger</t>
  </si>
  <si>
    <t>Indukciós gép korszerű szabályozása</t>
  </si>
  <si>
    <t>Advance control of induction machines</t>
  </si>
  <si>
    <t>Többcsatornás RC távirányító tervezése és megvalósítása</t>
  </si>
  <si>
    <t>Development of a multi-channel RC remote control</t>
  </si>
  <si>
    <t>75 Hz-es magyar vasúti sínáramköri jelek detektálása, dekódolása és továbbítása</t>
  </si>
  <si>
    <t>Detection, decoding and transmission of 75 Hz Hungarian railway track circuit signals</t>
  </si>
  <si>
    <t>Intelligens ügynökök fejlesztése a villamosenergia-rendszerek szabályozására és optimalizálására</t>
  </si>
  <si>
    <t>Development of Intelligent Agents for Control and Optimization of Electrical Power Systems</t>
  </si>
  <si>
    <t>Orvosi adatok feldolgozása mélytanulással</t>
  </si>
  <si>
    <t>Deep learning based medical data processing</t>
  </si>
  <si>
    <t>DC/DC konverter fejlesztése Formula Student versenyautóhoz</t>
  </si>
  <si>
    <t>Development of a DC/DC converter for a Formula Student race car</t>
  </si>
  <si>
    <t>Tőzsdei kereskedő alkalmazáskomponensek megvalósítása</t>
  </si>
  <si>
    <t>Developing Components for a Stock Market Platform</t>
  </si>
  <si>
    <t>Digitális mikrotükrös eszközök ipari alkalmazása</t>
  </si>
  <si>
    <t>Industrial Application of Digital Micromirror Devices</t>
  </si>
  <si>
    <t>AI-vezérelt autonóm járművek versenyszimulációja Unreal Engine környezetben</t>
  </si>
  <si>
    <t>AI-driven autonomous vehicle racing simulation in Unreal Engine</t>
  </si>
  <si>
    <t>Egyfázisú inverter tervezése</t>
  </si>
  <si>
    <t>Single phase inverter design</t>
  </si>
  <si>
    <t>Hídnélküli egyfázisú aktív egyenirányító készítése</t>
  </si>
  <si>
    <t>Development of a single phase bridgeless active rectifier</t>
  </si>
  <si>
    <t>Jelszókezelő hardver fejlesztése</t>
  </si>
  <si>
    <t>Development of a Password Manager Device</t>
  </si>
  <si>
    <t>Komplex hardver tesztelő keretrendszer fejlesztése</t>
  </si>
  <si>
    <t>Development of a complex hardware testing framework</t>
  </si>
  <si>
    <t>LED szalagok vezérlése vezeték nélküli kommunikációval</t>
  </si>
  <si>
    <t>Design and Implementation of Wireless LED Strip Control</t>
  </si>
  <si>
    <t>Logisztikai játék fejlesztése Unreal Engine környezetben</t>
  </si>
  <si>
    <t>Development of Logistic Game in Unreal Engine</t>
  </si>
  <si>
    <t>Üzleti folyamatok automatizálása MI alapokon</t>
  </si>
  <si>
    <t>Business process automation using AI</t>
  </si>
  <si>
    <t>Mikrokontrolleres időjárás állomás készítése</t>
  </si>
  <si>
    <t>Development of a microcontroller based weather station</t>
  </si>
  <si>
    <t>Nagysebességű adatkapcsolatok jelalakjainak vizsgálata autóipari kameramodulokon</t>
  </si>
  <si>
    <t>Testing the waveforms of high-speed data connections on automotive camera modules</t>
  </si>
  <si>
    <t>NTP protokoll megvalósítása beágyazott rendszeren Azure RTOS környezetben</t>
  </si>
  <si>
    <t>Implementing NTP protocol on an embedded system in Azure RTOS environment</t>
  </si>
  <si>
    <t>Okosotthon vezérlés tervezése</t>
  </si>
  <si>
    <t>Smart home controller design</t>
  </si>
  <si>
    <t>Szabványos irányítástechnikai adatátviteli eljárások TLS titkosítással történő kiegészítése</t>
  </si>
  <si>
    <t>Supplementing standard control technology data transmission procedures with TLS encryption</t>
  </si>
  <si>
    <t>Szivattyúvezérlő tervezése és megvalósítása</t>
  </si>
  <si>
    <t>Pump controller design and implementation</t>
  </si>
  <si>
    <t>Tesztelési célú szabályozó tervezése elektromos autó hajtás inverteréhez és validálása HIL rendszeren</t>
  </si>
  <si>
    <t>Designing a controller for testing purposes for an electric car drive inverter and validating it on a HIL system</t>
  </si>
  <si>
    <t>Elektromos autó fedélzeti töltőjéhez tesztelési célú szabályozó tervezése és HIL rendszeren való validálása</t>
  </si>
  <si>
    <t>Designing a controller for testing electric car on-board chargers and validating it on an HIL system</t>
  </si>
  <si>
    <t>Többcsatornás digitális tápegység fejlesztése</t>
  </si>
  <si>
    <t>Development of a Multi-Channel Digital Power Supply</t>
  </si>
  <si>
    <t>Valós idejű kamerastabilizálás és időjárás szenzorok integrációja</t>
  </si>
  <si>
    <t>Real-time camera stabilization and weather sensor integration</t>
  </si>
  <si>
    <t>Vezeték nélküli intelligens szenzor megvalósítása kísérleti gyártórendszerhez</t>
  </si>
  <si>
    <t>Implementation of a wireless smart sensor for a pilot manufacturing system</t>
  </si>
  <si>
    <t>Kamera illesztése STM32N6 mikrovezérlőkhöz</t>
  </si>
  <si>
    <t>Interfacing Cameras to STM32N6 Microcontrollers</t>
  </si>
  <si>
    <t>Ipari adatok elemzése és vizualizációja HMI felületen</t>
  </si>
  <si>
    <t>Industrial Data Analysis and Visualizationon on HMI Interface</t>
  </si>
  <si>
    <t>IoT eszközök integrálása ipari környezetbe</t>
  </si>
  <si>
    <t>Integrating IoT devices to industrial environment</t>
  </si>
  <si>
    <t>Szenzor-integrált egészségügyi monitorozó rendszer</t>
  </si>
  <si>
    <t>Sensor-integrated Health Monitoring system</t>
  </si>
  <si>
    <t>Mesterséges intelligencia modellek általánosítása optimális transzport módszerekkel</t>
  </si>
  <si>
    <t>Improving machine learning model generalization through optimal transport</t>
  </si>
  <si>
    <t>Hibakeresés és szoftver módosítás MI támogatással</t>
  </si>
  <si>
    <t>Debugging and software modification using AI</t>
  </si>
  <si>
    <t>Sorozatkövető webportál fejlesztése ASP.NET és React platformokon</t>
  </si>
  <si>
    <t>Development of a series tracking web portal on ASP.NET and React platforms</t>
  </si>
  <si>
    <t>Cross platform médiamegosztó alkalmazás fejlesztése</t>
  </si>
  <si>
    <t>Development of a cross platform media sharing application</t>
  </si>
  <si>
    <t>IoT hő- és páratartalommérő készülék</t>
  </si>
  <si>
    <t>IoT temperature and humidity measuring device</t>
  </si>
  <si>
    <t>On-line aláírás-hitelesítési osztályozók összehasonlítása</t>
  </si>
  <si>
    <t>Comparison of classifiers in on-line signature verification</t>
  </si>
  <si>
    <t>Space Survivor játék fejlesztése Kotlin Multiplatformon</t>
  </si>
  <si>
    <t>Development of a Space Survivor game on Kotlin Multiplatform</t>
  </si>
  <si>
    <t>Étkezési szokásokat kezelő alkalmazás fejlesztése Android platformon</t>
  </si>
  <si>
    <t>Development of an application for managing eating habits on the Android platform</t>
  </si>
  <si>
    <t>CRM rendszer fejlesztése React Native és Expo keretrendszerekben</t>
  </si>
  <si>
    <t>Developing a CRM management system using React Native and Expo</t>
  </si>
  <si>
    <t>Kiterjesztett valóság alapú játék fejlesztése</t>
  </si>
  <si>
    <t>Augmented Reality game development</t>
  </si>
  <si>
    <t>Cashflow tervező rendszer fejlesztése Spring és React platformon</t>
  </si>
  <si>
    <t>Developing a cashflow planning system on Spring and React platforms</t>
  </si>
  <si>
    <t>Cicanevelde játék fejlesztése Android platformra</t>
  </si>
  <si>
    <t>Developing a cat caring application for Android</t>
  </si>
  <si>
    <t>Dolgozat kereső és export funkciók fejlesztése a megújuló TDK portálon</t>
  </si>
  <si>
    <t>Development of search and export functions in the new Students' Scientific Conference (TDK) portal</t>
  </si>
  <si>
    <t>Eseményszervező alkalmazás fejlesztése Spring Boot és Next.js platformon</t>
  </si>
  <si>
    <t>Developing an event organizer application on Spring Boot and Next.js platforms</t>
  </si>
  <si>
    <t>Ételrendelő webalkalmazás fejlesztése Spring és React platformon</t>
  </si>
  <si>
    <t>Developing a food ordering web application on Spring and React platforms</t>
  </si>
  <si>
    <t>Fullstack színdarab-kereső és értékelő alkalmazás fejlesztése</t>
  </si>
  <si>
    <t>Developing a full-stack application to search and evaluate theater plays</t>
  </si>
  <si>
    <t>Speed kártyajáték modern webes technológiákkal és felhőalapú architektúrával</t>
  </si>
  <si>
    <t>Speed Card Game with Modern Web Technologies and Cloud-Based Architecture</t>
  </si>
  <si>
    <t>Procedurális terep generálás GPU-n</t>
  </si>
  <si>
    <t>Procedural terrain generation on GPU</t>
  </si>
  <si>
    <t>Mikroszolgáltatás alapú videófeldolgozó rendszer megvalósítása</t>
  </si>
  <si>
    <t>Implementation of a Microservices-Based Video Processing System</t>
  </si>
  <si>
    <t>Mobilalkalmazás fejlesztése coachok és mentorok központi kereséséhez</t>
  </si>
  <si>
    <t>Development of a mobile application for centralized coach and mentor search</t>
  </si>
  <si>
    <t>Monolitikus és mikroszerviz architektúrák összehasonlítása</t>
  </si>
  <si>
    <t>Comparing monolithic and microservices architectures</t>
  </si>
  <si>
    <t>MyMarks - Többplatformos tanulmányi teljesítményt elemző statisztikai alkalmazás</t>
  </si>
  <si>
    <t>MyMarks – A cross-platform app for analyzing and tracking academic performance</t>
  </si>
  <si>
    <t>Autókereskedő webshop fejlesztése .NET platformon</t>
  </si>
  <si>
    <t>Development of a car dealer webshop on .NET platform</t>
  </si>
  <si>
    <t>Wikipedia alapú online játék Angular platformon</t>
  </si>
  <si>
    <t>Development of a Wikipedia based online game using Angular platform</t>
  </si>
  <si>
    <t>Pénzügyi portfóliómenedzsment alkalmazás fejlesztése NestJS és Angular alapokon</t>
  </si>
  <si>
    <t>Development of a financial portfolio management application based on NestJS and Angular</t>
  </si>
  <si>
    <t>Anomália-predikció vízelosztó hálózatokban fizikai alapú szimulációs keretrendszeren tanított mélytanulási modellekkel</t>
  </si>
  <si>
    <t>Anomaly Prediction in Water Distribution Networks Using Deep Learning Models Trained on a Physics-Based Simulation Framework</t>
  </si>
  <si>
    <t>React alapú frontend készítése mérési adatgyűjtő adatbázis szoftver számára</t>
  </si>
  <si>
    <t>Developing a React-based frontend for a measurement data collection database software</t>
  </si>
  <si>
    <t>Térképalapú sporttevékenység-kezelő fullstack alkalmazás fejlesztése</t>
  </si>
  <si>
    <t>Developing a map-based sport activity organizer application</t>
  </si>
  <si>
    <t>Tőzsdei kereskedelmi szimulációs platform</t>
  </si>
  <si>
    <t>Developing a stock trading simulation platform</t>
  </si>
  <si>
    <t>3D modell rendszerező webalkalmazás készítése</t>
  </si>
  <si>
    <t>Creating a 3D model organizing web application</t>
  </si>
  <si>
    <t>Peer-to-peer szolgáltatás platform fejlesztése Spring Boot és React felhasználásával</t>
  </si>
  <si>
    <t>Development of a smart peer-to-peer services platform using Spring Boot and React</t>
  </si>
  <si>
    <t>Embassy management website using react</t>
  </si>
  <si>
    <t>Személyes pénzügyi és költségkövető irányítópult</t>
  </si>
  <si>
    <t>Personal Finance &amp; Expense Tracker Dashboard</t>
  </si>
  <si>
    <t>MI alapú értékelőrendszer közösségi oldalak alapján</t>
  </si>
  <si>
    <t>AI-based rating system based on social media</t>
  </si>
  <si>
    <t>Online kvíz platform készítése .NET és React technológiákkal</t>
  </si>
  <si>
    <t>Development of an online quiz platform using .NET and React technologies</t>
  </si>
  <si>
    <t>Online valós idejű kvíz platform fejlesztése.NET és Angular technológiákkal</t>
  </si>
  <si>
    <t>Development of an online realtime quiz platform using .NET and Angular technologies</t>
  </si>
  <si>
    <t>Agentic AI-alapú üzleti folyamat-automatizálás SAP környezetben a Joule Studio segítségével</t>
  </si>
  <si>
    <t>Agentic AI based business process automation in an SAP environment using Joule Studio</t>
  </si>
  <si>
    <t>Agentikus mesterséges intelligencia alapú influenszer-rendszer fejlesztése</t>
  </si>
  <si>
    <t>Developing an Artificial Intelligence based influencer application</t>
  </si>
  <si>
    <t>Flottakezelést támogató szolgáltatások tervezése és megvalósítása</t>
  </si>
  <si>
    <t>Fleet Management Service Design and Development</t>
  </si>
  <si>
    <t>Képfeldolgozó MI modellek alkalmazása önvezető járművek Unreal Engine-alapú szimulációjában</t>
  </si>
  <si>
    <t>Application of Computer Vision AI Models for Autonomous Vehicle Simulation in Unreal Engine</t>
  </si>
  <si>
    <t>Jedi erő képfeldolgozással</t>
  </si>
  <si>
    <t>Jedi power with computer vision</t>
  </si>
  <si>
    <t>AI-alapú folyamat-automatizálási platform fejlesztése LLM integrációval</t>
  </si>
  <si>
    <t>Development of an AI-based Process Automation Platform with LLM Integration</t>
  </si>
  <si>
    <t>Ajánlásos mozijegyrendszer kialakítása a Near-Balkan független filmek közösségi finanszírozását támogató platform számára</t>
  </si>
  <si>
    <t>Design and Implementation of a Referral-Bonus Ticketing System for Near-Balkan: A Platform for Independent Film Funding</t>
  </si>
  <si>
    <t>AI-alapú mobil tájékoztatási rendszer kiállításokra</t>
  </si>
  <si>
    <t>AI-based Mobile Information System for Exhibitions</t>
  </si>
  <si>
    <t>AI-támogatott tárgyfelismerés és hasonlóságvizsgálat mobilalkalmazásban</t>
  </si>
  <si>
    <t>AI-Supported Object Recognition and Similarity Analysis in Mobile Applications</t>
  </si>
  <si>
    <t>Videokonferencia alkalmazás fejlesztése AI-alapú valós idejű beszélgetésfordítással és feliratozással</t>
  </si>
  <si>
    <t>Development of a Videoconferencing Application Featuring AI-Driven Real-Time Translation and Subtitling</t>
  </si>
  <si>
    <t>AWS-alapú alkalmazás tervezése és kivitelezése</t>
  </si>
  <si>
    <t>Design and Implementation of an AWS-Based Application</t>
  </si>
  <si>
    <t>Egy integrált, mesterséges intelligenciával működő tanulási platform</t>
  </si>
  <si>
    <t>An Integrated AI-Powered Learning Platform</t>
  </si>
  <si>
    <t>Fitnesz alapú többjátékos alkalmazás fejlesztése Android platformon</t>
  </si>
  <si>
    <t>Development of a fitness-based multiplayer application on the Android platform</t>
  </si>
  <si>
    <t>Távoli segítségnyújtás alkalmazás készításe kitrejesztett valóságban</t>
  </si>
  <si>
    <t>Development of a remote assistance augmentead reality application</t>
  </si>
  <si>
    <t>Diszpécseralkalmazás fejlesztése távoli segítségnyújtáshoz</t>
  </si>
  <si>
    <t>Development of a Dispatcher Application for Remote Assistance</t>
  </si>
  <si>
    <t>Online többjátékos valósidejű kártyajáték fejlesztése</t>
  </si>
  <si>
    <t>Online multiplayer real-time card game development</t>
  </si>
  <si>
    <t>Edzéstervező és nyomonkövető webalkalmazás</t>
  </si>
  <si>
    <t>Workout Planning and tracking Web Application</t>
  </si>
  <si>
    <t>Személyre szabható filmes adatbázis készítése ASP.NET és React technológiákkal</t>
  </si>
  <si>
    <t>Personalized movie database using ASP.NET and React technologies</t>
  </si>
  <si>
    <t>Személyes produktivitási alkalmazás fejlesztése gamifikációs módszerekkel</t>
  </si>
  <si>
    <t>Development of a Personal Productivity Application with Gamification</t>
  </si>
  <si>
    <t>Online zenés kvízjáték fejlesztés</t>
  </si>
  <si>
    <t>Developing an Online Music Quiz Game</t>
  </si>
  <si>
    <t>Közösségi játékadatbázis készítése .NET és React technológiákkal</t>
  </si>
  <si>
    <t>Developing a Videogame Database Application using .NET and React Technologies</t>
  </si>
  <si>
    <t>Mesterséges intelligenciával támogatott aukciós portál</t>
  </si>
  <si>
    <t>Implementation of an AI-supported Auction Portal</t>
  </si>
  <si>
    <t>Iskolai órarendek tervezése különböző algoritmusokkal</t>
  </si>
  <si>
    <t>Creating school timetables using different algorithms</t>
  </si>
  <si>
    <t>Filmadatok elemzésére szolgáló adatfeldolgozási folyamat és webalkalmazás tervezése és megvalósítása</t>
  </si>
  <si>
    <t>Design and implementation of a data pipeline and web application for movie data analytics</t>
  </si>
  <si>
    <t>Mély tanulás alapú csökkentése a források közötti eltéréseknek MRI képeknél</t>
  </si>
  <si>
    <t>Deep learning based elimination of heterogeneity in MRI images</t>
  </si>
  <si>
    <t>Cross-platform energiamenedzsment mobilalkalmazás fejlesztése Flutter keretrendszerben</t>
  </si>
  <si>
    <t>Development of a cross-platform energy management mobile application in the Flutter framework</t>
  </si>
  <si>
    <t>Multimodális orvosi agyi felvételek közös látens terének mélytanulás és optimális transzport alapú vizsgálata</t>
  </si>
  <si>
    <t>Deep learning and optimal transport-based analysis of the common latent space of multimodal medical brain images</t>
  </si>
  <si>
    <t>Full-stack alkalmazás fejlesztése távoli diszpécser-alkalmazás számára</t>
  </si>
  <si>
    <t>Development of a Full-Stack Application for a Remote Dispatcher Application</t>
  </si>
  <si>
    <t>Fullstack álláskereső alkalmazás fejlesztése AI integrációval</t>
  </si>
  <si>
    <t>Developing a job seeker application with AI integration</t>
  </si>
  <si>
    <t>Agyi funkcionális MRI felvételek generatív AI alapú szintézisének és szuper-rezolúciójának vizsgálata</t>
  </si>
  <si>
    <t>Investigation of generative AI-based synthesis and super-resolution of functional MRI brain images</t>
  </si>
  <si>
    <t>Gráf alapú ajánlórendszer</t>
  </si>
  <si>
    <t>Graph based recommender system</t>
  </si>
  <si>
    <t>Hotel foglaló rendszer fejlesztése Spring és React platformon</t>
  </si>
  <si>
    <t>Developing a hotel reservation system on Spring and React platforms</t>
  </si>
  <si>
    <t>Intelligens naptáralkalmazás Blazor WebAssembly alapokon</t>
  </si>
  <si>
    <t>Smart Calendar App Built with Blazor WebAssembly</t>
  </si>
  <si>
    <t>Kevert Valóság Alkalmazás Fejlesztése Meta Quest eszközre</t>
  </si>
  <si>
    <t>Mixed Reality Application development on Meta Quest</t>
  </si>
  <si>
    <t>Interaktív webes felület fejlesztése ProteinMPNN és más inverz fehérje hajtogatási eszközök számára</t>
  </si>
  <si>
    <t>Development of an Interactive Web Interface for ProteinMPNN and Related Inverse Folding Tools</t>
  </si>
  <si>
    <t>iOS alkalmazás fejlesztése</t>
  </si>
  <si>
    <t>Development of iOS application</t>
  </si>
  <si>
    <t>Előtanított Vizuális-Nyelvi Modell integrációja tartalomkezelő  rendszerbe FastAPI és React alkalmazásával</t>
  </si>
  <si>
    <t>Integration of a pre-trained visual-language model into a content management system  using FastAPI and React</t>
  </si>
  <si>
    <t>Kollaboratív webalkalamazás megvalósítása DJ-k számára</t>
  </si>
  <si>
    <t>Implementation of a Collaborative Web Application for DJs</t>
  </si>
  <si>
    <t>Utazásajánló cross-platform közösségi alkalmazás fejlesztése Kotlin Multiplatformon</t>
  </si>
  <si>
    <t>Development of a cross-platform social application for travel recommendations on Kotlin Multiplatform</t>
  </si>
  <si>
    <t>Különböző technológiákkal fejlesztett AI agentek monitorozásának és értékelésének egységes megoldása Galileo-val</t>
  </si>
  <si>
    <t>Unified Monitoring and Evaluation of AI Agents Built with Different Technologies Using Galileo</t>
  </si>
  <si>
    <t>Megosztott bevásárlókosár megvalósítása React és .NET alapokon</t>
  </si>
  <si>
    <t>Implementation of a Shared Shopping Cart Using React and .NET</t>
  </si>
  <si>
    <t>Generatív fejlesztői asszisztens tervezése és megvalósítása full-stack architektúrában</t>
  </si>
  <si>
    <t>Design and implementation of a generative developer assistant in a full-stack architecture</t>
  </si>
  <si>
    <t>Mesterséges Intelligencia által generált videó tartalom detektálása</t>
  </si>
  <si>
    <t>Detection of AI-generated video content</t>
  </si>
  <si>
    <t>Mesterséges intelligencia által generált képek detektálása</t>
  </si>
  <si>
    <t>Detecting images generated by artificial intelligence</t>
  </si>
  <si>
    <t>Mesterséges intelligenciával támogatott felhasználói felület tervező megoldás mobil alkalmazások számára</t>
  </si>
  <si>
    <t>Artificial intelligence-powered user interface design solution for mobile applications</t>
  </si>
  <si>
    <t>Bridge Weigh-in-Motion algoritmusok kiterjesztése többsávos környezetben mélytanulás alkalmazásával</t>
  </si>
  <si>
    <t>Extension of Bridge Weigh-in-Motion algorithms to multi-lane environments using deep learning</t>
  </si>
  <si>
    <t>Adminisztratív feladatok automatizálása MI alapokon</t>
  </si>
  <si>
    <t>Automation of administrative tasks using AI</t>
  </si>
  <si>
    <t>Modern full-stack fitness alkalmazás fejlesztése konténerizált környezetben</t>
  </si>
  <si>
    <t>Developing a modern full-stack fitness application in a containerized environment</t>
  </si>
  <si>
    <t>Munkaközvetítő portál megvalósítása .NET és React alapokon</t>
  </si>
  <si>
    <t>Implementation of a Job Portal Using .NET and React</t>
  </si>
  <si>
    <t>Online személyi edző applikáció fejlesztése Spring és Vue.js platformon</t>
  </si>
  <si>
    <t>Developing a personal trainer application on Spring and Vue.js platforms</t>
  </si>
  <si>
    <t>Party planner alkalmazás fejlesztése Android platformra</t>
  </si>
  <si>
    <t>Development of a Party Planner Application for Android Platform</t>
  </si>
  <si>
    <t>Pályázat- és feladatkezelő portál tervezése és megvalósítása</t>
  </si>
  <si>
    <t>Design and implementation of a tender and task management portal</t>
  </si>
  <si>
    <t>E-learning rendszer fejlesztése Node.js platfomon</t>
  </si>
  <si>
    <t>Development of an e-learning system on Node.js platform</t>
  </si>
  <si>
    <t>Utazástervező web applikáció fejlesztése</t>
  </si>
  <si>
    <t>Development of a Travel Planner WebApp</t>
  </si>
  <si>
    <t>Retrieval-Augmented Generation rendszer fejlesztése többformátumú bemenetek feldolgozására</t>
  </si>
  <si>
    <t>Development of a Retrieval-Augmented Generation System for Multi-Format Input Processing</t>
  </si>
  <si>
    <t>Szakterületi nyelv készítése körökre osztott roguelike kártyajáték leírására</t>
  </si>
  <si>
    <t>Creating a domain-specific language for describing a turn-based roguelike card game</t>
  </si>
  <si>
    <t>Biztonsági Megállapításkezelő Szolgáltatás</t>
  </si>
  <si>
    <t>Security Finding Management Service</t>
  </si>
  <si>
    <t>Áruforgalom elemző adattárház rendszer építése AWS-en</t>
  </si>
  <si>
    <t>Development of a Data Warehouse for Product Flow Analysis on AWS</t>
  </si>
  <si>
    <t>Skálázható rendszer megvalósítása AI ágensek fejlesztésére és működtetésére</t>
  </si>
  <si>
    <t>Design and Implementation of a Scalable System for Developing and Operating AI Agents</t>
  </si>
  <si>
    <t>Speciális tudású MI chatbot rendszer tervezése és megvalósítása RAG-architektúrával</t>
  </si>
  <si>
    <t>Design and implementation of a specialized AI chatbot system using RAG architecture</t>
  </si>
  <si>
    <t>Sport tracker alkalmazás fejlesztése Android platformra</t>
  </si>
  <si>
    <t>Development of a Sport Tracker Application for Android Platform</t>
  </si>
  <si>
    <t>Sporttevékenységet követő Android alkalmazás fejlesztése</t>
  </si>
  <si>
    <t>Development of a sport tracking application on Android platform</t>
  </si>
  <si>
    <t>Personal Finance and Expense Tracking Dashboard</t>
  </si>
  <si>
    <t>Személyre szabott filmajánló rendszer</t>
  </si>
  <si>
    <t>Personalized Movie Recommendation System</t>
  </si>
  <si>
    <t>Tanórafoglaló alkalmazás fejlesztése .NET és React alapokon</t>
  </si>
  <si>
    <t>Developing a lesson booking application based on .NET and React</t>
  </si>
  <si>
    <t>Utazás tervező és szervező alkalmazás fejlesztése Kotlin Mupltiplatform technológiával</t>
  </si>
  <si>
    <t>Development of a Travel Planning Application with Kotlin Multiplatform Technology</t>
  </si>
  <si>
    <t>Vállalati gépjármű bérlési rendszer tervezése és fullstack fejlesztése microservice architektúrában</t>
  </si>
  <si>
    <t>Full-Stack Development and Design of an Enterpsire Car Rental System with Microservice Architecture</t>
  </si>
  <si>
    <t>Mindennapi szoftvermérnöki feladatok automatizálása MI alapokon</t>
  </si>
  <si>
    <t>Everyday automation for software engineers using AI</t>
  </si>
  <si>
    <t>Online gyakornoki portál készítése hallgatóknak és munkáltatóknak</t>
  </si>
  <si>
    <t>Building an online internship portal for students and employers</t>
  </si>
  <si>
    <t>Frontend keretrendszerek összehasonlítása</t>
  </si>
  <si>
    <t>Comparing Frontend frameworks</t>
  </si>
  <si>
    <t>Win32 alapú kliensalkalmazás fejlesztése NVR adatbázis kezelésére</t>
  </si>
  <si>
    <t>Development of a Win32 Client Application for Managing NVR Database</t>
  </si>
  <si>
    <t>Zenehallgatás alapú társkereső alkalmazás megvalósítása</t>
  </si>
  <si>
    <t>Implementation of a Music-Based Dating Application</t>
  </si>
  <si>
    <t>Otthoni javítási szolgáltatási rendszer fejlesztése</t>
  </si>
  <si>
    <t>Development of Home Repair Service System</t>
  </si>
  <si>
    <t>Anonymous Person Tracking</t>
  </si>
  <si>
    <t>JointCode: Valós idejű, együttműködő és mesterséges intelligencia által támogatott kódszerkesztő</t>
  </si>
  <si>
    <t>JointCode: A Real-Time Collaborative and AI-Assisted Code Editor</t>
  </si>
  <si>
    <t>Cross-Platform Barber Booking Application using Flutter and Firebase</t>
  </si>
  <si>
    <t>Deepfake Detection Research and Algorithm Evaluation</t>
  </si>
  <si>
    <t>Személyre szabott ajánlórendszer egy e-kereskedelmi platformon</t>
  </si>
  <si>
    <t>A Personalized Recommendation System in an E-commerce Platform</t>
  </si>
  <si>
    <t>Webes alkalmazás fejlesztése időzónákon átívelő értekezlet-ütemezéshez</t>
  </si>
  <si>
    <t>Development of a Web Application for Cross-Timezone Meeting Scheduling</t>
  </si>
  <si>
    <t>Online signature verification</t>
  </si>
  <si>
    <t>plantify: Plant Sitting Platform</t>
  </si>
  <si>
    <t>PlateMate - A sustainable food sharing Web Application</t>
  </si>
  <si>
    <t>Biztonságos OTA frissítési szimulációs keretrendszer</t>
  </si>
  <si>
    <t>Secure OTA Update Simulation Framework</t>
  </si>
  <si>
    <t>Okos zenei ajánlórendszer fejlesztése</t>
  </si>
  <si>
    <t>Development of a smart music recommendation system</t>
  </si>
  <si>
    <t>Intelligens önéletrajz-szűrőrendszer</t>
  </si>
  <si>
    <t>Smart Resume Screening System</t>
  </si>
  <si>
    <t>Vajda Balázs</t>
  </si>
  <si>
    <t>X5ATXN</t>
  </si>
  <si>
    <t>Jost Márk Benedek</t>
  </si>
  <si>
    <t>JXOV52</t>
  </si>
  <si>
    <t>Gáspár Márton</t>
  </si>
  <si>
    <t>EDJK4G</t>
  </si>
  <si>
    <t>Hartmann Ábel Miklós</t>
  </si>
  <si>
    <t>Mesterházi Marcell</t>
  </si>
  <si>
    <t>TN0VU7</t>
  </si>
  <si>
    <t>Dr. Kovács Tibor</t>
  </si>
  <si>
    <t>Balogh István Barnabás</t>
  </si>
  <si>
    <t>L76XFE</t>
  </si>
  <si>
    <t>Mammadov Ibrahim</t>
  </si>
  <si>
    <t>F52WZT</t>
  </si>
  <si>
    <t>Alghourani Kawthar</t>
  </si>
  <si>
    <t>Kis Erhard</t>
  </si>
  <si>
    <t>G278TP</t>
  </si>
  <si>
    <t>Dr. Stumpf Péter Pál</t>
  </si>
  <si>
    <t>Kozma Imre</t>
  </si>
  <si>
    <t>IHH9BM</t>
  </si>
  <si>
    <t>Csernyánszky Krisztián</t>
  </si>
  <si>
    <t>F5FA2O</t>
  </si>
  <si>
    <t>Király Krisztina</t>
  </si>
  <si>
    <t>IHLRE7</t>
  </si>
  <si>
    <t>Angyal-Tóth Ábel</t>
  </si>
  <si>
    <t>X9Z2ZK</t>
  </si>
  <si>
    <t>Fodor Ferenc</t>
  </si>
  <si>
    <t>Vargay András Dávid</t>
  </si>
  <si>
    <t>CIUDF4</t>
  </si>
  <si>
    <t>Buczny Dominik</t>
  </si>
  <si>
    <t>C84AVJ</t>
  </si>
  <si>
    <t>Somogyi Ferenc Attila</t>
  </si>
  <si>
    <t>Tatrishvili Nia</t>
  </si>
  <si>
    <t>H2NBP7</t>
  </si>
  <si>
    <t>Dr. Csorba Kristóf</t>
  </si>
  <si>
    <t>Klauzer László Zsolt</t>
  </si>
  <si>
    <t>FTBI4N</t>
  </si>
  <si>
    <t>DR. Ekler Péter</t>
  </si>
  <si>
    <t>Lénárd Zsombor</t>
  </si>
  <si>
    <t>KOPKZK</t>
  </si>
  <si>
    <t>Geier Csaba</t>
  </si>
  <si>
    <t>R74UM5</t>
  </si>
  <si>
    <t>Okpaise Tiwalolaoluwa Ayokunnu</t>
  </si>
  <si>
    <t>BG6WBF</t>
  </si>
  <si>
    <t>Dr. Szegletes Luca</t>
  </si>
  <si>
    <t>Biró Áron</t>
  </si>
  <si>
    <t>QUB9NB</t>
  </si>
  <si>
    <t>Sovák Adrienn</t>
  </si>
  <si>
    <t>DF7KTW</t>
  </si>
  <si>
    <t>Majoros Gábor Pál</t>
  </si>
  <si>
    <t>IY807G</t>
  </si>
  <si>
    <t>Dr. Mezei Gergely</t>
  </si>
  <si>
    <t>Bárdi Csaba Milán</t>
  </si>
  <si>
    <t>BH9HDV</t>
  </si>
  <si>
    <t>DR. Forstner Bertalan</t>
  </si>
  <si>
    <t>Juhász Ádám Tibor</t>
  </si>
  <si>
    <t>TRU7BU</t>
  </si>
  <si>
    <t>Boncsér Attila Bertalan</t>
  </si>
  <si>
    <t>Z7AMXE</t>
  </si>
  <si>
    <t>Szigeti Attila</t>
  </si>
  <si>
    <t>E0WLHC</t>
  </si>
  <si>
    <t>Kött Tibor</t>
  </si>
  <si>
    <t>ZCP1AR</t>
  </si>
  <si>
    <t>Vigh Franciska Fanni</t>
  </si>
  <si>
    <t>OAZL8X</t>
  </si>
  <si>
    <t>Székely Dávid</t>
  </si>
  <si>
    <t>EQT9AR</t>
  </si>
  <si>
    <t>Dr. Kővári Bence András</t>
  </si>
  <si>
    <t>Kukó Gergely</t>
  </si>
  <si>
    <t>RW6IZX</t>
  </si>
  <si>
    <t>Gótzy Márton Andor</t>
  </si>
  <si>
    <t>Filipinyi Dániel</t>
  </si>
  <si>
    <t>N5ZZVI</t>
  </si>
  <si>
    <t>Győri Mihály</t>
  </si>
  <si>
    <t>PFGIXS</t>
  </si>
  <si>
    <t>Tuboly Dávid</t>
  </si>
  <si>
    <t>TAJU9A</t>
  </si>
  <si>
    <t>Belcsik Bence</t>
  </si>
  <si>
    <t>DXHJOH</t>
  </si>
  <si>
    <t>Élő Henrik Rudolf</t>
  </si>
  <si>
    <t>HR2JO3</t>
  </si>
  <si>
    <t>Dr. Hideg Attila</t>
  </si>
  <si>
    <t>Király Artúr</t>
  </si>
  <si>
    <t>WKKN80</t>
  </si>
  <si>
    <t>Árvay Péter</t>
  </si>
  <si>
    <t>ID3FM3</t>
  </si>
  <si>
    <t>Pónya Bálint Bonifác</t>
  </si>
  <si>
    <t>T93DFS</t>
  </si>
  <si>
    <t>Hunyady Zsombor</t>
  </si>
  <si>
    <t>PH4LP3</t>
  </si>
  <si>
    <t>Papp Alex</t>
  </si>
  <si>
    <t>S95MOE</t>
  </si>
  <si>
    <t>Szeredi Péter</t>
  </si>
  <si>
    <t>XUHGHZ</t>
  </si>
  <si>
    <t>Máté Botond</t>
  </si>
  <si>
    <t>ELOYOV</t>
  </si>
  <si>
    <t>Ferencz Kincső Lilla</t>
  </si>
  <si>
    <t>AHU632</t>
  </si>
  <si>
    <t>Gál Botond</t>
  </si>
  <si>
    <t>HUQ0EJ</t>
  </si>
  <si>
    <t>Tóth Barnabás</t>
  </si>
  <si>
    <t>I7J35B</t>
  </si>
  <si>
    <t>Berta Csaba Zsolt</t>
  </si>
  <si>
    <t>ODK4CN</t>
  </si>
  <si>
    <t>Pomázi Krisztián Dániel</t>
  </si>
  <si>
    <t>Bosznai Barnabás</t>
  </si>
  <si>
    <t>RP7Q1A</t>
  </si>
  <si>
    <t>Mózs Barnabás</t>
  </si>
  <si>
    <t>PMIO8Q</t>
  </si>
  <si>
    <t>Futó Csaba Arnold</t>
  </si>
  <si>
    <t>D6ZO05</t>
  </si>
  <si>
    <t>Takács Péter</t>
  </si>
  <si>
    <t>CF0R1V</t>
  </si>
  <si>
    <t>Viszoki Tamás</t>
  </si>
  <si>
    <t>FCRNN2</t>
  </si>
  <si>
    <t>Dr. Iváncsy Szabolcs</t>
  </si>
  <si>
    <t>Várady Bence György</t>
  </si>
  <si>
    <t>H1U86J</t>
  </si>
  <si>
    <t>Stivi Nataniel Erik</t>
  </si>
  <si>
    <t>WPPEL4</t>
  </si>
  <si>
    <t>Oszvald András</t>
  </si>
  <si>
    <t>D6IO64</t>
  </si>
  <si>
    <t>Sztrunga Balázs</t>
  </si>
  <si>
    <t>YCANAY</t>
  </si>
  <si>
    <t>Kiss-Nagy Gergő Mihály</t>
  </si>
  <si>
    <t>GIJTN9</t>
  </si>
  <si>
    <t>Szilczer Ármin</t>
  </si>
  <si>
    <t>THGPZB</t>
  </si>
  <si>
    <t>Deák Orsolya</t>
  </si>
  <si>
    <t>Q2CFAJ</t>
  </si>
  <si>
    <t>Szmolyán Jenni Adél</t>
  </si>
  <si>
    <t>YAHVMS</t>
  </si>
  <si>
    <t>Surguladze Goga</t>
  </si>
  <si>
    <t>HIKUWK</t>
  </si>
  <si>
    <t>Ismayilov Ibadat</t>
  </si>
  <si>
    <t>JG0GNZ</t>
  </si>
  <si>
    <t>Abdullazade Mustafa</t>
  </si>
  <si>
    <t>Q71MBS</t>
  </si>
  <si>
    <t>Lipták-Lukácsik Kolos</t>
  </si>
  <si>
    <t>D68PQ6</t>
  </si>
  <si>
    <t>Bácsi Sándor</t>
  </si>
  <si>
    <t>Fábry Bálint</t>
  </si>
  <si>
    <t>IJ8Y3O</t>
  </si>
  <si>
    <t>Kundra László János</t>
  </si>
  <si>
    <t>Baróthy László Dániel</t>
  </si>
  <si>
    <t>EIUWPU</t>
  </si>
  <si>
    <t>Frikker Erik Vince</t>
  </si>
  <si>
    <t>D3KKX6</t>
  </si>
  <si>
    <t>Hantos Péter</t>
  </si>
  <si>
    <t>QFVUVQ</t>
  </si>
  <si>
    <t>Sik Tamás Dávid</t>
  </si>
  <si>
    <t>Oláh Levente</t>
  </si>
  <si>
    <t>HYJEO6</t>
  </si>
  <si>
    <t>DR. Sütő Zoltán</t>
  </si>
  <si>
    <t>Kovács Gergely</t>
  </si>
  <si>
    <t>RS1T5O</t>
  </si>
  <si>
    <t>Dadashov Ruhid</t>
  </si>
  <si>
    <t>ZMUFDG</t>
  </si>
  <si>
    <t>Kopach Artem</t>
  </si>
  <si>
    <t>JQBOLI</t>
  </si>
  <si>
    <t>A követelményektől a hardverig: modellalapú életciklus egy biztonságkritikus nukleáris irányítástechnikai rendszer számára</t>
  </si>
  <si>
    <t>From Requirements to Hardware: A Model-Based Life Cycle for a Safety-Critical Nuclear Instrumentation and Control System</t>
  </si>
  <si>
    <t>AI ügynök alapú megoldások szolgáltatásmenedzsmentben</t>
  </si>
  <si>
    <t>AI agent-based in service management</t>
  </si>
  <si>
    <t>Aktív elektromos összeköttetési rendszer szuborbitális kutatórakétához</t>
  </si>
  <si>
    <t>Active electrical interconnecting system in a suborbital sounding rocket</t>
  </si>
  <si>
    <t>ÁrMester: árfigyelő és termék-összehasonlító rendszer Odoo-ban</t>
  </si>
  <si>
    <t>ÁrMester: Price Monitoring and Product Comparison System in Odoo</t>
  </si>
  <si>
    <t>Biológiai adatok feldolgozása gépi tanulással</t>
  </si>
  <si>
    <t>Processing Biological Data with Deep Learning</t>
  </si>
  <si>
    <t>Futásidő mérése beágyazott AUTOSAR környezetben</t>
  </si>
  <si>
    <t>Runtime Measurement in Embedded AUTOSAR Environments</t>
  </si>
  <si>
    <t>Iroda és kiszolgáló helyiségek légkezelésének műszaki vizsgálata egy valós rendszer elemzésével</t>
  </si>
  <si>
    <t>Technical examination of air treatment in offices and service rooms analysing a real system</t>
  </si>
  <si>
    <t>JPEG tömörítő fejlesztése hardverleíró nyelven</t>
  </si>
  <si>
    <t>Development of a JPEG Encoder using a Hardware Description Language</t>
  </si>
  <si>
    <t>Kutatórakéta fedélzeti tápegységének tervezése</t>
  </si>
  <si>
    <t>Design of the onboard power supply of a sounding rocket</t>
  </si>
  <si>
    <t>Laptábla-konfiguráció valósidejű generálása memória menedzsment egység számára</t>
  </si>
  <si>
    <t>Real-time generation of page table configurations for memory management unit</t>
  </si>
  <si>
    <t>Motivált ébredés: Feladat-alapú ébresztő alkalmazás fejlesztése Android platformra</t>
  </si>
  <si>
    <t>Motivated Wake-Up: Development of a Task-Based Wake-Up Application for Android Platform</t>
  </si>
  <si>
    <t>Open-source, Python alapú szoftver fejlesztése helyi energiarendszer modellezésére</t>
  </si>
  <si>
    <t>Open-source, Python-based software development for local energy system modeling</t>
  </si>
  <si>
    <t>Önálló MIDI sequencer fejlesztése</t>
  </si>
  <si>
    <t>Development of a standalone MIDI sequencer</t>
  </si>
  <si>
    <t>Piaci adatgyűjtő rendszer: Heterogén adatforrások feldolgozása és integrálása egy központi platformon</t>
  </si>
  <si>
    <t>Commercial data integration system: processing heterogeneous data sources on a central platform</t>
  </si>
  <si>
    <t>Tápegységmodul fejlesztése</t>
  </si>
  <si>
    <t>Development of power supply module</t>
  </si>
  <si>
    <t>Vezérlő elektronika fejlesztése parkolást segítő ultrahang szenzorokhoz</t>
  </si>
  <si>
    <t>Control electronics development for ultrasonic parking sensors</t>
  </si>
  <si>
    <t>StudentsWithoutAutPortalEntry worksheet ellenőrzése: ők a ZV portálon szerepelnek, de a tanszéki portálon nincs témájuk (sok jogosan beragadt hallgató van itt, aki pl. már csak be kellene, hogy adja a diplomatervét évek óta)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</si>
</sst>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" fillId="2" borderId="1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1" xfId="1"/>
    <xf numFmtId="0" fontId="2" fillId="0" borderId="0" xfId="0" applyFont="1"/>
    <xf numFmtId="0" fontId="3" fillId="0" borderId="0" xfId="2"/>
  </cellXfs>
  <cellStyles count="3">
    <cellStyle name="headerStyle" xfId="1" xr:uid="{6845530C-5F7A-44AE-99E9-76EF3194F9CC}"/>
    <cellStyle name="Hivatkozás" xfId="2" builtinId="8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zarovizsga.aut.bme.hu/admin/report?selectedKey=reviewTemplat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>
    <tabColor rgb="FFFF0000"/>
  </sheetPr>
  <dimension ref="A1:D11"/>
  <sheetViews>
    <sheetView workbookViewId="0">
      <selection activeCell="A6" sqref="A6"/>
    </sheetView>
  </sheetViews>
  <sheetFormatPr defaultRowHeight="15" x14ac:dyDescent="0.25"/>
  <cols>
    <col min="1" max="1" width="6" bestFit="1" customWidth="1"/>
    <col min="2" max="2" width="10.42578125" bestFit="1" customWidth="1"/>
    <col min="3" max="3" width="24.5703125" bestFit="1" customWidth="1"/>
  </cols>
  <sheetData>
    <row r="1" spans="1:4" s="2" customFormat="1" x14ac:dyDescent="0.25">
      <c r="A1" s="2" t="s">
        <v>58</v>
      </c>
      <c r="B1" s="2" t="s">
        <v>60</v>
      </c>
      <c r="C1" s="2" t="s">
        <v>59</v>
      </c>
      <c r="D1" s="2" t="s">
        <v>61</v>
      </c>
    </row>
    <row r="2" spans="1:4" x14ac:dyDescent="0.25">
      <c r="A2">
        <v>1</v>
      </c>
      <c r="B2" t="s">
        <v>63</v>
      </c>
      <c r="C2" t="s">
        <v>62</v>
      </c>
      <c r="D2" t="s">
        <v>65</v>
      </c>
    </row>
    <row r="3" spans="1:4" x14ac:dyDescent="0.25">
      <c r="A3">
        <v>2</v>
      </c>
      <c r="D3" t="s">
        <v>1368</v>
      </c>
    </row>
    <row r="4" spans="1:4" x14ac:dyDescent="0.25">
      <c r="A4">
        <v>3</v>
      </c>
      <c r="D4" t="s">
        <v>131</v>
      </c>
    </row>
    <row r="5" spans="1:4" x14ac:dyDescent="0.25">
      <c r="A5">
        <v>4</v>
      </c>
      <c r="B5" t="s">
        <v>64</v>
      </c>
      <c r="C5" t="s">
        <v>93</v>
      </c>
      <c r="D5" t="s">
        <v>66</v>
      </c>
    </row>
    <row r="6" spans="1:4" x14ac:dyDescent="0.25">
      <c r="A6">
        <v>5</v>
      </c>
      <c r="D6" t="s">
        <v>67</v>
      </c>
    </row>
    <row r="8" spans="1:4" x14ac:dyDescent="0.25">
      <c r="A8" s="2" t="s">
        <v>94</v>
      </c>
    </row>
    <row r="9" spans="1:4" x14ac:dyDescent="0.25">
      <c r="A9" t="s">
        <v>95</v>
      </c>
      <c r="D9" t="s">
        <v>96</v>
      </c>
    </row>
    <row r="10" spans="1:4" x14ac:dyDescent="0.25">
      <c r="A10" t="s">
        <v>97</v>
      </c>
      <c r="C10" t="s">
        <v>129</v>
      </c>
      <c r="D10" t="s">
        <v>99</v>
      </c>
    </row>
    <row r="11" spans="1:4" x14ac:dyDescent="0.25">
      <c r="A11" t="s">
        <v>98</v>
      </c>
      <c r="C11" s="3" t="s">
        <v>128</v>
      </c>
      <c r="D11" t="s">
        <v>100</v>
      </c>
    </row>
  </sheetData>
  <hyperlinks>
    <hyperlink ref="C11" r:id="rId1" xr:uid="{46F0B75F-435F-4D93-AF57-D545EFAAD3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K284"/>
  <sheetViews>
    <sheetView workbookViewId="0">
      <selection activeCell="E15" sqref="E15"/>
    </sheetView>
  </sheetViews>
  <sheetFormatPr defaultRowHeight="15" x14ac:dyDescent="0.25"/>
  <cols>
    <col min="1" max="1" width="12.85546875" bestFit="1" customWidth="1"/>
    <col min="2" max="2" width="11.140625" bestFit="1" customWidth="1"/>
    <col min="3" max="3" width="9.7109375" bestFit="1" customWidth="1"/>
    <col min="4" max="4" width="22.140625" bestFit="1" customWidth="1"/>
    <col min="5" max="7" width="22.140625" customWidth="1"/>
    <col min="8" max="8" width="21.140625" bestFit="1" customWidth="1"/>
    <col min="9" max="9" width="14.7109375" bestFit="1" customWidth="1"/>
    <col min="10" max="10" width="20" bestFit="1" customWidth="1"/>
    <col min="11" max="11" width="19.28515625" bestFit="1" customWidth="1"/>
  </cols>
  <sheetData>
    <row r="1" spans="1:11" s="2" customFormat="1" x14ac:dyDescent="0.25">
      <c r="A1" s="2" t="s">
        <v>55</v>
      </c>
      <c r="B1" s="2" t="s">
        <v>54</v>
      </c>
      <c r="C1" s="2" t="s">
        <v>56</v>
      </c>
      <c r="D1" s="2" t="s">
        <v>48</v>
      </c>
      <c r="E1" s="2" t="s">
        <v>68</v>
      </c>
      <c r="F1" s="2" t="s">
        <v>69</v>
      </c>
      <c r="G1" s="2" t="s">
        <v>70</v>
      </c>
      <c r="H1" s="2" t="s">
        <v>49</v>
      </c>
      <c r="I1" s="2" t="s">
        <v>57</v>
      </c>
      <c r="J1" s="2" t="s">
        <v>85</v>
      </c>
      <c r="K1" s="2" t="s">
        <v>91</v>
      </c>
    </row>
    <row r="2" spans="1:11" x14ac:dyDescent="0.25">
      <c r="A2" t="s">
        <v>511</v>
      </c>
      <c r="B2" t="s">
        <v>512</v>
      </c>
      <c r="C2" t="s">
        <v>47</v>
      </c>
      <c r="D2" t="str">
        <f>IFERROR(VLOOKUP($C2,'Tantárgyi adatok'!B:F,2,FALSE),"nincs")</f>
        <v>Szakdolgozat</v>
      </c>
      <c r="E2" t="s">
        <v>1007</v>
      </c>
      <c r="F2" t="s">
        <v>1008</v>
      </c>
      <c r="G2" t="s">
        <v>81</v>
      </c>
      <c r="H2" t="str">
        <f>IFERROR(VLOOKUP($C2,'Tantárgyi adatok'!B:F,3,FALSE),"nincs")</f>
        <v>Mérnökinformatikus</v>
      </c>
      <c r="I2" t="s">
        <v>80</v>
      </c>
      <c r="J2" t="str">
        <f>IFERROR(VLOOKUP($C2,'Tantárgyi adatok'!B:F,4,FALSE),"nincs")</f>
        <v>BSc</v>
      </c>
      <c r="K2" t="str">
        <f>IFERROR(VLOOKUP($C2,'Tantárgyi adatok'!B:F,5,FALSE),"nincs")</f>
        <v>Computer Engineering</v>
      </c>
    </row>
    <row r="3" spans="1:11" x14ac:dyDescent="0.25">
      <c r="A3" t="s">
        <v>513</v>
      </c>
      <c r="B3" t="s">
        <v>514</v>
      </c>
      <c r="C3" t="s">
        <v>47</v>
      </c>
      <c r="D3" t="str">
        <f>IFERROR(VLOOKUP($C3,'Tantárgyi adatok'!B:F,2,FALSE),"nincs")</f>
        <v>Szakdolgozat</v>
      </c>
      <c r="E3" t="s">
        <v>1009</v>
      </c>
      <c r="F3" t="s">
        <v>1010</v>
      </c>
      <c r="G3" t="s">
        <v>81</v>
      </c>
      <c r="H3" t="str">
        <f>IFERROR(VLOOKUP($C3,'Tantárgyi adatok'!B:F,3,FALSE),"nincs")</f>
        <v>Mérnökinformatikus</v>
      </c>
      <c r="I3" t="s">
        <v>80</v>
      </c>
      <c r="J3" t="str">
        <f>IFERROR(VLOOKUP($C3,'Tantárgyi adatok'!B:F,4,FALSE),"nincs")</f>
        <v>BSc</v>
      </c>
      <c r="K3" t="str">
        <f>IFERROR(VLOOKUP($C3,'Tantárgyi adatok'!B:F,5,FALSE),"nincs")</f>
        <v>Computer Engineering</v>
      </c>
    </row>
    <row r="4" spans="1:11" x14ac:dyDescent="0.25">
      <c r="A4" t="s">
        <v>515</v>
      </c>
      <c r="B4" t="s">
        <v>516</v>
      </c>
      <c r="C4" t="s">
        <v>47</v>
      </c>
      <c r="D4" t="str">
        <f>IFERROR(VLOOKUP($C4,'Tantárgyi adatok'!B:F,2,FALSE),"nincs")</f>
        <v>Szakdolgozat</v>
      </c>
      <c r="E4" t="s">
        <v>1011</v>
      </c>
      <c r="F4" t="s">
        <v>1012</v>
      </c>
      <c r="G4" t="s">
        <v>81</v>
      </c>
      <c r="H4" t="str">
        <f>IFERROR(VLOOKUP($C4,'Tantárgyi adatok'!B:F,3,FALSE),"nincs")</f>
        <v>Mérnökinformatikus</v>
      </c>
      <c r="I4" t="s">
        <v>80</v>
      </c>
      <c r="J4" t="str">
        <f>IFERROR(VLOOKUP($C4,'Tantárgyi adatok'!B:F,4,FALSE),"nincs")</f>
        <v>BSc</v>
      </c>
      <c r="K4" t="str">
        <f>IFERROR(VLOOKUP($C4,'Tantárgyi adatok'!B:F,5,FALSE),"nincs")</f>
        <v>Computer Engineering</v>
      </c>
    </row>
    <row r="5" spans="1:11" x14ac:dyDescent="0.25">
      <c r="A5" t="s">
        <v>447</v>
      </c>
      <c r="B5" t="s">
        <v>448</v>
      </c>
      <c r="C5" t="s">
        <v>45</v>
      </c>
      <c r="D5" t="str">
        <f>IFERROR(VLOOKUP($C5,'Tantárgyi adatok'!B:F,2,FALSE),"nincs")</f>
        <v>Szakdolgozat</v>
      </c>
      <c r="E5" t="s">
        <v>946</v>
      </c>
      <c r="F5" t="s">
        <v>947</v>
      </c>
      <c r="G5" t="s">
        <v>81</v>
      </c>
      <c r="H5" t="str">
        <f>IFERROR(VLOOKUP($C5,'Tantárgyi adatok'!B:F,3,FALSE),"nincs")</f>
        <v>Mérnökinformatikus</v>
      </c>
      <c r="I5" t="s">
        <v>80</v>
      </c>
      <c r="J5" t="str">
        <f>IFERROR(VLOOKUP($C5,'Tantárgyi adatok'!B:F,4,FALSE),"nincs")</f>
        <v>BSc</v>
      </c>
      <c r="K5" t="str">
        <f>IFERROR(VLOOKUP($C5,'Tantárgyi adatok'!B:F,5,FALSE),"nincs")</f>
        <v>Computer Engineering</v>
      </c>
    </row>
    <row r="6" spans="1:11" x14ac:dyDescent="0.25">
      <c r="A6" t="s">
        <v>449</v>
      </c>
      <c r="B6" t="s">
        <v>450</v>
      </c>
      <c r="C6" t="s">
        <v>45</v>
      </c>
      <c r="D6" t="str">
        <f>IFERROR(VLOOKUP($C6,'Tantárgyi adatok'!B:F,2,FALSE),"nincs")</f>
        <v>Szakdolgozat</v>
      </c>
      <c r="E6" t="s">
        <v>948</v>
      </c>
      <c r="F6" t="s">
        <v>949</v>
      </c>
      <c r="G6" t="s">
        <v>81</v>
      </c>
      <c r="H6" t="str">
        <f>IFERROR(VLOOKUP($C6,'Tantárgyi adatok'!B:F,3,FALSE),"nincs")</f>
        <v>Mérnökinformatikus</v>
      </c>
      <c r="I6" t="s">
        <v>80</v>
      </c>
      <c r="J6" t="str">
        <f>IFERROR(VLOOKUP($C6,'Tantárgyi adatok'!B:F,4,FALSE),"nincs")</f>
        <v>BSc</v>
      </c>
      <c r="K6" t="str">
        <f>IFERROR(VLOOKUP($C6,'Tantárgyi adatok'!B:F,5,FALSE),"nincs")</f>
        <v>Computer Engineering</v>
      </c>
    </row>
    <row r="7" spans="1:11" x14ac:dyDescent="0.25">
      <c r="A7" t="s">
        <v>106</v>
      </c>
      <c r="B7" t="s">
        <v>107</v>
      </c>
      <c r="C7" t="s">
        <v>11</v>
      </c>
      <c r="D7" t="str">
        <f>IFERROR(VLOOKUP($C7,'Tantárgyi adatok'!B:F,2,FALSE),"nincs")</f>
        <v>Diplomatervezés</v>
      </c>
      <c r="E7" t="s">
        <v>118</v>
      </c>
      <c r="F7" t="s">
        <v>119</v>
      </c>
      <c r="G7" t="s">
        <v>81</v>
      </c>
      <c r="H7" t="str">
        <f>IFERROR(VLOOKUP($C7,'Tantárgyi adatok'!B:F,3,FALSE),"nincs")</f>
        <v>Mérnökinformatikus</v>
      </c>
      <c r="I7" t="s">
        <v>80</v>
      </c>
      <c r="J7" t="str">
        <f>IFERROR(VLOOKUP($C7,'Tantárgyi adatok'!B:F,4,FALSE),"nincs")</f>
        <v>MSc</v>
      </c>
      <c r="K7" t="str">
        <f>IFERROR(VLOOKUP($C7,'Tantárgyi adatok'!B:F,5,FALSE),"nincs")</f>
        <v>Computer Engineering</v>
      </c>
    </row>
    <row r="8" spans="1:11" x14ac:dyDescent="0.25">
      <c r="A8" t="s">
        <v>379</v>
      </c>
      <c r="B8" t="s">
        <v>380</v>
      </c>
      <c r="C8" t="s">
        <v>41</v>
      </c>
      <c r="D8" t="str">
        <f>IFERROR(VLOOKUP($C8,'Tantárgyi adatok'!B:F,2,FALSE),"nincs")</f>
        <v>Szakdolgozat</v>
      </c>
      <c r="E8" t="s">
        <v>882</v>
      </c>
      <c r="F8" t="s">
        <v>883</v>
      </c>
      <c r="G8" t="s">
        <v>81</v>
      </c>
      <c r="H8" t="str">
        <f>IFERROR(VLOOKUP($C8,'Tantárgyi adatok'!B:F,3,FALSE),"nincs")</f>
        <v>Villamosmérnök</v>
      </c>
      <c r="I8" t="s">
        <v>145</v>
      </c>
      <c r="J8" t="str">
        <f>IFERROR(VLOOKUP($C8,'Tantárgyi adatok'!B:F,4,FALSE),"nincs")</f>
        <v>BSc</v>
      </c>
      <c r="K8" t="str">
        <f>IFERROR(VLOOKUP($C8,'Tantárgyi adatok'!B:F,5,FALSE),"nincs")</f>
        <v>Electrical Engineering</v>
      </c>
    </row>
    <row r="9" spans="1:11" x14ac:dyDescent="0.25">
      <c r="A9" t="s">
        <v>276</v>
      </c>
      <c r="B9" t="s">
        <v>277</v>
      </c>
      <c r="C9" t="s">
        <v>15</v>
      </c>
      <c r="D9" t="str">
        <f>IFERROR(VLOOKUP($C9,'Tantárgyi adatok'!B:F,2,FALSE),"nincs")</f>
        <v>Diplomatervezés</v>
      </c>
      <c r="E9" t="s">
        <v>796</v>
      </c>
      <c r="F9" t="s">
        <v>797</v>
      </c>
      <c r="G9" t="s">
        <v>81</v>
      </c>
      <c r="H9" t="str">
        <f>IFERROR(VLOOKUP($C9,'Tantárgyi adatok'!B:F,3,FALSE),"nincs")</f>
        <v>Villamosmérnök</v>
      </c>
      <c r="I9" t="s">
        <v>145</v>
      </c>
      <c r="J9" t="str">
        <f>IFERROR(VLOOKUP($C9,'Tantárgyi adatok'!B:F,4,FALSE),"nincs")</f>
        <v>MSc</v>
      </c>
      <c r="K9" t="str">
        <f>IFERROR(VLOOKUP($C9,'Tantárgyi adatok'!B:F,5,FALSE),"nincs")</f>
        <v>Electrical Engineering</v>
      </c>
    </row>
    <row r="10" spans="1:11" x14ac:dyDescent="0.25">
      <c r="A10" t="s">
        <v>381</v>
      </c>
      <c r="B10" t="s">
        <v>382</v>
      </c>
      <c r="C10" t="s">
        <v>41</v>
      </c>
      <c r="D10" t="str">
        <f>IFERROR(VLOOKUP($C10,'Tantárgyi adatok'!B:F,2,FALSE),"nincs")</f>
        <v>Szakdolgozat</v>
      </c>
      <c r="E10" t="s">
        <v>796</v>
      </c>
      <c r="F10" t="s">
        <v>797</v>
      </c>
      <c r="G10" t="s">
        <v>81</v>
      </c>
      <c r="H10" t="str">
        <f>IFERROR(VLOOKUP($C10,'Tantárgyi adatok'!B:F,3,FALSE),"nincs")</f>
        <v>Villamosmérnök</v>
      </c>
      <c r="I10" t="s">
        <v>145</v>
      </c>
      <c r="J10" t="str">
        <f>IFERROR(VLOOKUP($C10,'Tantárgyi adatok'!B:F,4,FALSE),"nincs")</f>
        <v>BSc</v>
      </c>
      <c r="K10" t="str">
        <f>IFERROR(VLOOKUP($C10,'Tantárgyi adatok'!B:F,5,FALSE),"nincs")</f>
        <v>Electrical Engineering</v>
      </c>
    </row>
    <row r="11" spans="1:11" x14ac:dyDescent="0.25">
      <c r="A11" t="s">
        <v>383</v>
      </c>
      <c r="B11" t="s">
        <v>384</v>
      </c>
      <c r="C11" t="s">
        <v>41</v>
      </c>
      <c r="D11" t="str">
        <f>IFERROR(VLOOKUP($C11,'Tantárgyi adatok'!B:F,2,FALSE),"nincs")</f>
        <v>Szakdolgozat</v>
      </c>
      <c r="E11" t="s">
        <v>884</v>
      </c>
      <c r="F11" t="s">
        <v>885</v>
      </c>
      <c r="G11" t="s">
        <v>81</v>
      </c>
      <c r="H11" t="str">
        <f>IFERROR(VLOOKUP($C11,'Tantárgyi adatok'!B:F,3,FALSE),"nincs")</f>
        <v>Villamosmérnök</v>
      </c>
      <c r="I11" t="s">
        <v>348</v>
      </c>
      <c r="J11" t="str">
        <f>IFERROR(VLOOKUP($C11,'Tantárgyi adatok'!B:F,4,FALSE),"nincs")</f>
        <v>BSc</v>
      </c>
      <c r="K11" t="str">
        <f>IFERROR(VLOOKUP($C11,'Tantárgyi adatok'!B:F,5,FALSE),"nincs")</f>
        <v>Electrical Engineering</v>
      </c>
    </row>
    <row r="12" spans="1:11" x14ac:dyDescent="0.25">
      <c r="A12" t="s">
        <v>1334</v>
      </c>
      <c r="B12" t="s">
        <v>1335</v>
      </c>
      <c r="C12" t="s">
        <v>45</v>
      </c>
      <c r="D12" t="str">
        <f>IFERROR(VLOOKUP($C12,'Tantárgyi adatok'!B:F,2,FALSE),"nincs")</f>
        <v>Szakdolgozat</v>
      </c>
      <c r="E12" t="s">
        <v>1336</v>
      </c>
      <c r="F12" t="s">
        <v>1337</v>
      </c>
      <c r="G12" t="s">
        <v>81</v>
      </c>
      <c r="H12" t="str">
        <f>IFERROR(VLOOKUP($C12,'Tantárgyi adatok'!B:F,3,FALSE),"nincs")</f>
        <v>Mérnökinformatikus</v>
      </c>
      <c r="I12" t="s">
        <v>168</v>
      </c>
      <c r="J12" t="str">
        <f>IFERROR(VLOOKUP($C12,'Tantárgyi adatok'!B:F,4,FALSE),"nincs")</f>
        <v>BSc</v>
      </c>
      <c r="K12" t="str">
        <f>IFERROR(VLOOKUP($C12,'Tantárgyi adatok'!B:F,5,FALSE),"nincs")</f>
        <v>Computer Engineering</v>
      </c>
    </row>
    <row r="13" spans="1:11" x14ac:dyDescent="0.25">
      <c r="A13" t="s">
        <v>108</v>
      </c>
      <c r="B13" t="s">
        <v>109</v>
      </c>
      <c r="C13" t="s">
        <v>11</v>
      </c>
      <c r="D13" t="str">
        <f>IFERROR(VLOOKUP($C13,'Tantárgyi adatok'!B:F,2,FALSE),"nincs")</f>
        <v>Diplomatervezés</v>
      </c>
      <c r="E13" t="s">
        <v>120</v>
      </c>
      <c r="F13" t="s">
        <v>121</v>
      </c>
      <c r="G13" t="s">
        <v>81</v>
      </c>
      <c r="H13" t="str">
        <f>IFERROR(VLOOKUP($C13,'Tantárgyi adatok'!B:F,3,FALSE),"nincs")</f>
        <v>Mérnökinformatikus</v>
      </c>
      <c r="I13" t="s">
        <v>105</v>
      </c>
      <c r="J13" t="str">
        <f>IFERROR(VLOOKUP($C13,'Tantárgyi adatok'!B:F,4,FALSE),"nincs")</f>
        <v>MSc</v>
      </c>
      <c r="K13" t="str">
        <f>IFERROR(VLOOKUP($C13,'Tantárgyi adatok'!B:F,5,FALSE),"nincs")</f>
        <v>Computer Engineering</v>
      </c>
    </row>
    <row r="14" spans="1:11" x14ac:dyDescent="0.25">
      <c r="A14" t="s">
        <v>451</v>
      </c>
      <c r="B14" t="s">
        <v>452</v>
      </c>
      <c r="C14" t="s">
        <v>45</v>
      </c>
      <c r="D14" t="str">
        <f>IFERROR(VLOOKUP($C14,'Tantárgyi adatok'!B:F,2,FALSE),"nincs")</f>
        <v>Szakdolgozat</v>
      </c>
      <c r="E14" t="s">
        <v>950</v>
      </c>
      <c r="F14" t="s">
        <v>951</v>
      </c>
      <c r="G14" t="s">
        <v>791</v>
      </c>
      <c r="H14" t="str">
        <f>IFERROR(VLOOKUP($C14,'Tantárgyi adatok'!B:F,3,FALSE),"nincs")</f>
        <v>Mérnökinformatikus</v>
      </c>
      <c r="I14" t="s">
        <v>330</v>
      </c>
      <c r="J14" t="str">
        <f>IFERROR(VLOOKUP($C14,'Tantárgyi adatok'!B:F,4,FALSE),"nincs")</f>
        <v>BSc</v>
      </c>
      <c r="K14" t="str">
        <f>IFERROR(VLOOKUP($C14,'Tantárgyi adatok'!B:F,5,FALSE),"nincs")</f>
        <v>Computer Engineering</v>
      </c>
    </row>
    <row r="15" spans="1:11" x14ac:dyDescent="0.25">
      <c r="A15" t="s">
        <v>350</v>
      </c>
      <c r="B15" t="s">
        <v>351</v>
      </c>
      <c r="C15" t="s">
        <v>39</v>
      </c>
      <c r="D15" t="str">
        <f>IFERROR(VLOOKUP($C15,'Tantárgyi adatok'!B:F,2,FALSE),"nincs")</f>
        <v>Szakdolgozat</v>
      </c>
      <c r="E15" t="s">
        <v>854</v>
      </c>
      <c r="F15" t="s">
        <v>855</v>
      </c>
      <c r="G15" t="s">
        <v>81</v>
      </c>
      <c r="H15" t="str">
        <f>IFERROR(VLOOKUP($C15,'Tantárgyi adatok'!B:F,3,FALSE),"nincs")</f>
        <v>Mechatronikai mérnök</v>
      </c>
      <c r="I15" t="s">
        <v>330</v>
      </c>
      <c r="J15" t="str">
        <f>IFERROR(VLOOKUP($C15,'Tantárgyi adatok'!B:F,4,FALSE),"nincs")</f>
        <v>BSc</v>
      </c>
      <c r="K15" t="str">
        <f>IFERROR(VLOOKUP($C15,'Tantárgyi adatok'!B:F,5,FALSE),"nincs")</f>
        <v>Electrical Engineering</v>
      </c>
    </row>
    <row r="16" spans="1:11" x14ac:dyDescent="0.25">
      <c r="A16" t="s">
        <v>517</v>
      </c>
      <c r="B16" t="s">
        <v>518</v>
      </c>
      <c r="C16" t="s">
        <v>47</v>
      </c>
      <c r="D16" t="str">
        <f>IFERROR(VLOOKUP($C16,'Tantárgyi adatok'!B:F,2,FALSE),"nincs")</f>
        <v>Szakdolgozat</v>
      </c>
      <c r="E16" t="s">
        <v>1013</v>
      </c>
      <c r="F16" t="s">
        <v>1014</v>
      </c>
      <c r="G16" t="s">
        <v>81</v>
      </c>
      <c r="H16" t="str">
        <f>IFERROR(VLOOKUP($C16,'Tantárgyi adatok'!B:F,3,FALSE),"nincs")</f>
        <v>Mérnökinformatikus</v>
      </c>
      <c r="I16" t="s">
        <v>133</v>
      </c>
      <c r="J16" t="str">
        <f>IFERROR(VLOOKUP($C16,'Tantárgyi adatok'!B:F,4,FALSE),"nincs")</f>
        <v>BSc</v>
      </c>
      <c r="K16" t="str">
        <f>IFERROR(VLOOKUP($C16,'Tantárgyi adatok'!B:F,5,FALSE),"nincs")</f>
        <v>Computer Engineering</v>
      </c>
    </row>
    <row r="17" spans="1:11" x14ac:dyDescent="0.25">
      <c r="A17" t="s">
        <v>519</v>
      </c>
      <c r="B17" t="s">
        <v>520</v>
      </c>
      <c r="C17" t="s">
        <v>47</v>
      </c>
      <c r="D17" t="str">
        <f>IFERROR(VLOOKUP($C17,'Tantárgyi adatok'!B:F,2,FALSE),"nincs")</f>
        <v>Szakdolgozat</v>
      </c>
      <c r="E17" t="s">
        <v>1015</v>
      </c>
      <c r="F17" t="s">
        <v>1016</v>
      </c>
      <c r="G17" t="s">
        <v>81</v>
      </c>
      <c r="H17" t="str">
        <f>IFERROR(VLOOKUP($C17,'Tantárgyi adatok'!B:F,3,FALSE),"nincs")</f>
        <v>Mérnökinformatikus</v>
      </c>
      <c r="I17" t="s">
        <v>181</v>
      </c>
      <c r="J17" t="str">
        <f>IFERROR(VLOOKUP($C17,'Tantárgyi adatok'!B:F,4,FALSE),"nincs")</f>
        <v>BSc</v>
      </c>
      <c r="K17" t="str">
        <f>IFERROR(VLOOKUP($C17,'Tantárgyi adatok'!B:F,5,FALSE),"nincs")</f>
        <v>Computer Engineering</v>
      </c>
    </row>
    <row r="18" spans="1:11" x14ac:dyDescent="0.25">
      <c r="A18" t="s">
        <v>110</v>
      </c>
      <c r="B18" t="s">
        <v>111</v>
      </c>
      <c r="C18" t="s">
        <v>11</v>
      </c>
      <c r="D18" t="str">
        <f>IFERROR(VLOOKUP($C18,'Tantárgyi adatok'!B:F,2,FALSE),"nincs")</f>
        <v>Diplomatervezés</v>
      </c>
      <c r="E18" t="s">
        <v>122</v>
      </c>
      <c r="F18" t="s">
        <v>123</v>
      </c>
      <c r="G18" t="s">
        <v>81</v>
      </c>
      <c r="H18" t="str">
        <f>IFERROR(VLOOKUP($C18,'Tantárgyi adatok'!B:F,3,FALSE),"nincs")</f>
        <v>Mérnökinformatikus</v>
      </c>
      <c r="I18" t="s">
        <v>112</v>
      </c>
      <c r="J18" t="str">
        <f>IFERROR(VLOOKUP($C18,'Tantárgyi adatok'!B:F,4,FALSE),"nincs")</f>
        <v>MSc</v>
      </c>
      <c r="K18" t="str">
        <f>IFERROR(VLOOKUP($C18,'Tantárgyi adatok'!B:F,5,FALSE),"nincs")</f>
        <v>Computer Engineering</v>
      </c>
    </row>
    <row r="19" spans="1:11" x14ac:dyDescent="0.25">
      <c r="A19" t="s">
        <v>521</v>
      </c>
      <c r="B19" t="s">
        <v>522</v>
      </c>
      <c r="C19" t="s">
        <v>47</v>
      </c>
      <c r="D19" t="str">
        <f>IFERROR(VLOOKUP($C19,'Tantárgyi adatok'!B:F,2,FALSE),"nincs")</f>
        <v>Szakdolgozat</v>
      </c>
      <c r="E19" t="s">
        <v>1017</v>
      </c>
      <c r="F19" t="s">
        <v>1018</v>
      </c>
      <c r="G19" t="s">
        <v>81</v>
      </c>
      <c r="H19" t="str">
        <f>IFERROR(VLOOKUP($C19,'Tantárgyi adatok'!B:F,3,FALSE),"nincs")</f>
        <v>Mérnökinformatikus</v>
      </c>
      <c r="I19" t="s">
        <v>133</v>
      </c>
      <c r="J19" t="str">
        <f>IFERROR(VLOOKUP($C19,'Tantárgyi adatok'!B:F,4,FALSE),"nincs")</f>
        <v>BSc</v>
      </c>
      <c r="K19" t="str">
        <f>IFERROR(VLOOKUP($C19,'Tantárgyi adatok'!B:F,5,FALSE),"nincs")</f>
        <v>Computer Engineering</v>
      </c>
    </row>
    <row r="20" spans="1:11" x14ac:dyDescent="0.25">
      <c r="A20" t="s">
        <v>113</v>
      </c>
      <c r="B20" t="s">
        <v>114</v>
      </c>
      <c r="C20" t="s">
        <v>11</v>
      </c>
      <c r="D20" t="str">
        <f>IFERROR(VLOOKUP($C20,'Tantárgyi adatok'!B:F,2,FALSE),"nincs")</f>
        <v>Diplomatervezés</v>
      </c>
      <c r="E20" t="s">
        <v>124</v>
      </c>
      <c r="F20" t="s">
        <v>125</v>
      </c>
      <c r="G20" t="s">
        <v>81</v>
      </c>
      <c r="H20" t="str">
        <f>IFERROR(VLOOKUP($C20,'Tantárgyi adatok'!B:F,3,FALSE),"nincs")</f>
        <v>Mérnökinformatikus</v>
      </c>
      <c r="I20" t="s">
        <v>115</v>
      </c>
      <c r="J20" t="str">
        <f>IFERROR(VLOOKUP($C20,'Tantárgyi adatok'!B:F,4,FALSE),"nincs")</f>
        <v>MSc</v>
      </c>
      <c r="K20" t="str">
        <f>IFERROR(VLOOKUP($C20,'Tantárgyi adatok'!B:F,5,FALSE),"nincs")</f>
        <v>Computer Engineering</v>
      </c>
    </row>
    <row r="21" spans="1:11" x14ac:dyDescent="0.25">
      <c r="A21" t="s">
        <v>352</v>
      </c>
      <c r="B21" t="s">
        <v>353</v>
      </c>
      <c r="C21" t="s">
        <v>39</v>
      </c>
      <c r="D21" t="str">
        <f>IFERROR(VLOOKUP($C21,'Tantárgyi adatok'!B:F,2,FALSE),"nincs")</f>
        <v>Szakdolgozat</v>
      </c>
      <c r="E21" t="s">
        <v>856</v>
      </c>
      <c r="F21" t="s">
        <v>857</v>
      </c>
      <c r="G21" t="s">
        <v>81</v>
      </c>
      <c r="H21" t="str">
        <f>IFERROR(VLOOKUP($C21,'Tantárgyi adatok'!B:F,3,FALSE),"nincs")</f>
        <v>Mechatronikai mérnök</v>
      </c>
      <c r="I21" t="s">
        <v>137</v>
      </c>
      <c r="J21" t="str">
        <f>IFERROR(VLOOKUP($C21,'Tantárgyi adatok'!B:F,4,FALSE),"nincs")</f>
        <v>BSc</v>
      </c>
      <c r="K21" t="str">
        <f>IFERROR(VLOOKUP($C21,'Tantárgyi adatok'!B:F,5,FALSE),"nincs")</f>
        <v>Electrical Engineering</v>
      </c>
    </row>
    <row r="22" spans="1:11" x14ac:dyDescent="0.25">
      <c r="A22" t="s">
        <v>523</v>
      </c>
      <c r="B22" t="s">
        <v>524</v>
      </c>
      <c r="C22" t="s">
        <v>47</v>
      </c>
      <c r="D22" t="str">
        <f>IFERROR(VLOOKUP($C22,'Tantárgyi adatok'!B:F,2,FALSE),"nincs")</f>
        <v>Szakdolgozat</v>
      </c>
      <c r="E22" t="s">
        <v>1019</v>
      </c>
      <c r="F22" t="s">
        <v>1020</v>
      </c>
      <c r="G22" t="s">
        <v>81</v>
      </c>
      <c r="H22" t="str">
        <f>IFERROR(VLOOKUP($C22,'Tantárgyi adatok'!B:F,3,FALSE),"nincs")</f>
        <v>Mérnökinformatikus</v>
      </c>
      <c r="I22" t="s">
        <v>137</v>
      </c>
      <c r="J22" t="str">
        <f>IFERROR(VLOOKUP($C22,'Tantárgyi adatok'!B:F,4,FALSE),"nincs")</f>
        <v>BSc</v>
      </c>
      <c r="K22" t="str">
        <f>IFERROR(VLOOKUP($C22,'Tantárgyi adatok'!B:F,5,FALSE),"nincs")</f>
        <v>Computer Engineering</v>
      </c>
    </row>
    <row r="23" spans="1:11" x14ac:dyDescent="0.25">
      <c r="A23" t="s">
        <v>525</v>
      </c>
      <c r="B23" t="s">
        <v>526</v>
      </c>
      <c r="C23" t="s">
        <v>47</v>
      </c>
      <c r="D23" t="str">
        <f>IFERROR(VLOOKUP($C23,'Tantárgyi adatok'!B:F,2,FALSE),"nincs")</f>
        <v>Szakdolgozat</v>
      </c>
      <c r="E23" t="s">
        <v>1021</v>
      </c>
      <c r="F23" t="s">
        <v>1022</v>
      </c>
      <c r="G23" t="s">
        <v>81</v>
      </c>
      <c r="H23" t="str">
        <f>IFERROR(VLOOKUP($C23,'Tantárgyi adatok'!B:F,3,FALSE),"nincs")</f>
        <v>Mérnökinformatikus</v>
      </c>
      <c r="I23" t="s">
        <v>137</v>
      </c>
      <c r="J23" t="str">
        <f>IFERROR(VLOOKUP($C23,'Tantárgyi adatok'!B:F,4,FALSE),"nincs")</f>
        <v>BSc</v>
      </c>
      <c r="K23" t="str">
        <f>IFERROR(VLOOKUP($C23,'Tantárgyi adatok'!B:F,5,FALSE),"nincs")</f>
        <v>Computer Engineering</v>
      </c>
    </row>
    <row r="24" spans="1:11" x14ac:dyDescent="0.25">
      <c r="A24" t="s">
        <v>1214</v>
      </c>
      <c r="B24" t="s">
        <v>1215</v>
      </c>
      <c r="C24" t="s">
        <v>47</v>
      </c>
      <c r="D24" t="str">
        <f>IFERROR(VLOOKUP($C24,'Tantárgyi adatok'!B:F,2,FALSE),"nincs")</f>
        <v>Szakdolgozat</v>
      </c>
      <c r="E24" t="s">
        <v>1338</v>
      </c>
      <c r="F24" t="s">
        <v>1339</v>
      </c>
      <c r="G24" t="s">
        <v>81</v>
      </c>
      <c r="H24" t="str">
        <f>IFERROR(VLOOKUP($C24,'Tantárgyi adatok'!B:F,3,FALSE),"nincs")</f>
        <v>Mérnökinformatikus</v>
      </c>
      <c r="I24" t="s">
        <v>133</v>
      </c>
      <c r="J24" t="str">
        <f>IFERROR(VLOOKUP($C24,'Tantárgyi adatok'!B:F,4,FALSE),"nincs")</f>
        <v>BSc</v>
      </c>
      <c r="K24" t="str">
        <f>IFERROR(VLOOKUP($C24,'Tantárgyi adatok'!B:F,5,FALSE),"nincs")</f>
        <v>Computer Engineering</v>
      </c>
    </row>
    <row r="25" spans="1:11" x14ac:dyDescent="0.25">
      <c r="A25" t="s">
        <v>527</v>
      </c>
      <c r="B25" t="s">
        <v>528</v>
      </c>
      <c r="C25" t="s">
        <v>47</v>
      </c>
      <c r="D25" t="str">
        <f>IFERROR(VLOOKUP($C25,'Tantárgyi adatok'!B:F,2,FALSE),"nincs")</f>
        <v>Szakdolgozat</v>
      </c>
      <c r="E25" t="s">
        <v>1023</v>
      </c>
      <c r="F25" t="s">
        <v>1024</v>
      </c>
      <c r="G25" t="s">
        <v>81</v>
      </c>
      <c r="H25" t="str">
        <f>IFERROR(VLOOKUP($C25,'Tantárgyi adatok'!B:F,3,FALSE),"nincs")</f>
        <v>Mérnökinformatikus</v>
      </c>
      <c r="I25" t="s">
        <v>112</v>
      </c>
      <c r="J25" t="str">
        <f>IFERROR(VLOOKUP($C25,'Tantárgyi adatok'!B:F,4,FALSE),"nincs")</f>
        <v>BSc</v>
      </c>
      <c r="K25" t="str">
        <f>IFERROR(VLOOKUP($C25,'Tantárgyi adatok'!B:F,5,FALSE),"nincs")</f>
        <v>Computer Engineering</v>
      </c>
    </row>
    <row r="26" spans="1:11" x14ac:dyDescent="0.25">
      <c r="A26" t="s">
        <v>385</v>
      </c>
      <c r="B26" t="s">
        <v>386</v>
      </c>
      <c r="C26" t="s">
        <v>41</v>
      </c>
      <c r="D26" t="str">
        <f>IFERROR(VLOOKUP($C26,'Tantárgyi adatok'!B:F,2,FALSE),"nincs")</f>
        <v>Szakdolgozat</v>
      </c>
      <c r="E26" t="s">
        <v>886</v>
      </c>
      <c r="F26" t="s">
        <v>887</v>
      </c>
      <c r="G26" t="s">
        <v>81</v>
      </c>
      <c r="H26" t="str">
        <f>IFERROR(VLOOKUP($C26,'Tantárgyi adatok'!B:F,3,FALSE),"nincs")</f>
        <v>Villamosmérnök</v>
      </c>
      <c r="I26" t="s">
        <v>133</v>
      </c>
      <c r="J26" t="str">
        <f>IFERROR(VLOOKUP($C26,'Tantárgyi adatok'!B:F,4,FALSE),"nincs")</f>
        <v>BSc</v>
      </c>
      <c r="K26" t="str">
        <f>IFERROR(VLOOKUP($C26,'Tantárgyi adatok'!B:F,5,FALSE),"nincs")</f>
        <v>Electrical Engineering</v>
      </c>
    </row>
    <row r="27" spans="1:11" x14ac:dyDescent="0.25">
      <c r="A27" t="s">
        <v>529</v>
      </c>
      <c r="B27" t="s">
        <v>530</v>
      </c>
      <c r="C27" t="s">
        <v>47</v>
      </c>
      <c r="D27" t="str">
        <f>IFERROR(VLOOKUP($C27,'Tantárgyi adatok'!B:F,2,FALSE),"nincs")</f>
        <v>Szakdolgozat</v>
      </c>
      <c r="E27" t="s">
        <v>1025</v>
      </c>
      <c r="F27" t="s">
        <v>1026</v>
      </c>
      <c r="G27" t="s">
        <v>81</v>
      </c>
      <c r="H27" t="str">
        <f>IFERROR(VLOOKUP($C27,'Tantárgyi adatok'!B:F,3,FALSE),"nincs")</f>
        <v>Mérnökinformatikus</v>
      </c>
      <c r="I27" t="s">
        <v>133</v>
      </c>
      <c r="J27" t="str">
        <f>IFERROR(VLOOKUP($C27,'Tantárgyi adatok'!B:F,4,FALSE),"nincs")</f>
        <v>BSc</v>
      </c>
      <c r="K27" t="str">
        <f>IFERROR(VLOOKUP($C27,'Tantárgyi adatok'!B:F,5,FALSE),"nincs")</f>
        <v>Computer Engineering</v>
      </c>
    </row>
    <row r="28" spans="1:11" x14ac:dyDescent="0.25">
      <c r="A28" t="s">
        <v>1223</v>
      </c>
      <c r="B28" t="s">
        <v>1224</v>
      </c>
      <c r="C28" t="s">
        <v>39</v>
      </c>
      <c r="D28" t="str">
        <f>IFERROR(VLOOKUP($C28,'Tantárgyi adatok'!B:F,2,FALSE),"nincs")</f>
        <v>Szakdolgozat</v>
      </c>
      <c r="E28" t="s">
        <v>1340</v>
      </c>
      <c r="F28" t="s">
        <v>1341</v>
      </c>
      <c r="G28" t="s">
        <v>81</v>
      </c>
      <c r="H28" t="str">
        <f>IFERROR(VLOOKUP($C28,'Tantárgyi adatok'!B:F,3,FALSE),"nincs")</f>
        <v>Mechatronikai mérnök</v>
      </c>
      <c r="I28" t="s">
        <v>321</v>
      </c>
      <c r="J28" t="str">
        <f>IFERROR(VLOOKUP($C28,'Tantárgyi adatok'!B:F,4,FALSE),"nincs")</f>
        <v>BSc</v>
      </c>
      <c r="K28" t="str">
        <f>IFERROR(VLOOKUP($C28,'Tantárgyi adatok'!B:F,5,FALSE),"nincs")</f>
        <v>Electrical Engineering</v>
      </c>
    </row>
    <row r="29" spans="1:11" x14ac:dyDescent="0.25">
      <c r="A29" t="s">
        <v>116</v>
      </c>
      <c r="B29" t="s">
        <v>117</v>
      </c>
      <c r="C29" t="s">
        <v>11</v>
      </c>
      <c r="D29" t="str">
        <f>IFERROR(VLOOKUP($C29,'Tantárgyi adatok'!B:F,2,FALSE),"nincs")</f>
        <v>Diplomatervezés</v>
      </c>
      <c r="E29" t="s">
        <v>126</v>
      </c>
      <c r="F29" t="s">
        <v>127</v>
      </c>
      <c r="G29" t="s">
        <v>81</v>
      </c>
      <c r="H29" t="str">
        <f>IFERROR(VLOOKUP($C29,'Tantárgyi adatok'!B:F,3,FALSE),"nincs")</f>
        <v>Mérnökinformatikus</v>
      </c>
      <c r="I29" t="s">
        <v>104</v>
      </c>
      <c r="J29" t="str">
        <f>IFERROR(VLOOKUP($C29,'Tantárgyi adatok'!B:F,4,FALSE),"nincs")</f>
        <v>MSc</v>
      </c>
      <c r="K29" t="str">
        <f>IFERROR(VLOOKUP($C29,'Tantárgyi adatok'!B:F,5,FALSE),"nincs")</f>
        <v>Computer Engineering</v>
      </c>
    </row>
    <row r="30" spans="1:11" x14ac:dyDescent="0.25">
      <c r="A30" t="s">
        <v>152</v>
      </c>
      <c r="B30" t="s">
        <v>153</v>
      </c>
      <c r="C30" t="s">
        <v>11</v>
      </c>
      <c r="D30" t="str">
        <f>IFERROR(VLOOKUP($C30,'Tantárgyi adatok'!B:F,2,FALSE),"nincs")</f>
        <v>Diplomatervezés</v>
      </c>
      <c r="E30" t="s">
        <v>689</v>
      </c>
      <c r="F30" t="s">
        <v>690</v>
      </c>
      <c r="G30" t="s">
        <v>81</v>
      </c>
      <c r="H30" t="str">
        <f>IFERROR(VLOOKUP($C30,'Tantárgyi adatok'!B:F,3,FALSE),"nincs")</f>
        <v>Mérnökinformatikus</v>
      </c>
      <c r="I30" t="s">
        <v>154</v>
      </c>
      <c r="J30" t="str">
        <f>IFERROR(VLOOKUP($C30,'Tantárgyi adatok'!B:F,4,FALSE),"nincs")</f>
        <v>MSc</v>
      </c>
      <c r="K30" t="str">
        <f>IFERROR(VLOOKUP($C30,'Tantárgyi adatok'!B:F,5,FALSE),"nincs")</f>
        <v>Computer Engineering</v>
      </c>
    </row>
    <row r="31" spans="1:11" x14ac:dyDescent="0.25">
      <c r="A31" t="s">
        <v>453</v>
      </c>
      <c r="B31" t="s">
        <v>454</v>
      </c>
      <c r="C31" t="s">
        <v>45</v>
      </c>
      <c r="D31" t="str">
        <f>IFERROR(VLOOKUP($C31,'Tantárgyi adatok'!B:F,2,FALSE),"nincs")</f>
        <v>Szakdolgozat</v>
      </c>
      <c r="E31" t="s">
        <v>952</v>
      </c>
      <c r="F31" t="s">
        <v>953</v>
      </c>
      <c r="G31" t="s">
        <v>81</v>
      </c>
      <c r="H31" t="str">
        <f>IFERROR(VLOOKUP($C31,'Tantárgyi adatok'!B:F,3,FALSE),"nincs")</f>
        <v>Mérnökinformatikus</v>
      </c>
      <c r="I31" t="s">
        <v>154</v>
      </c>
      <c r="J31" t="str">
        <f>IFERROR(VLOOKUP($C31,'Tantárgyi adatok'!B:F,4,FALSE),"nincs")</f>
        <v>BSc</v>
      </c>
      <c r="K31" t="str">
        <f>IFERROR(VLOOKUP($C31,'Tantárgyi adatok'!B:F,5,FALSE),"nincs")</f>
        <v>Computer Engineering</v>
      </c>
    </row>
    <row r="32" spans="1:11" x14ac:dyDescent="0.25">
      <c r="A32" t="s">
        <v>443</v>
      </c>
      <c r="B32" t="s">
        <v>444</v>
      </c>
      <c r="C32" t="s">
        <v>43</v>
      </c>
      <c r="D32" t="str">
        <f>IFERROR(VLOOKUP($C32,'Tantárgyi adatok'!B:F,2,FALSE),"nincs")</f>
        <v>Szakdolgozat</v>
      </c>
      <c r="E32" t="s">
        <v>942</v>
      </c>
      <c r="F32" t="s">
        <v>943</v>
      </c>
      <c r="G32" t="s">
        <v>81</v>
      </c>
      <c r="H32" t="str">
        <f>IFERROR(VLOOKUP($C32,'Tantárgyi adatok'!B:F,3,FALSE),"nincs")</f>
        <v>Villamosmérnök</v>
      </c>
      <c r="I32" t="s">
        <v>347</v>
      </c>
      <c r="J32" t="str">
        <f>IFERROR(VLOOKUP($C32,'Tantárgyi adatok'!B:F,4,FALSE),"nincs")</f>
        <v>BSc</v>
      </c>
      <c r="K32" t="str">
        <f>IFERROR(VLOOKUP($C32,'Tantárgyi adatok'!B:F,5,FALSE),"nincs")</f>
        <v>Electrical Engineering</v>
      </c>
    </row>
    <row r="33" spans="1:11" x14ac:dyDescent="0.25">
      <c r="A33" t="s">
        <v>531</v>
      </c>
      <c r="B33" t="s">
        <v>532</v>
      </c>
      <c r="C33" t="s">
        <v>47</v>
      </c>
      <c r="D33" t="str">
        <f>IFERROR(VLOOKUP($C33,'Tantárgyi adatok'!B:F,2,FALSE),"nincs")</f>
        <v>Szakdolgozat</v>
      </c>
      <c r="E33" t="s">
        <v>1027</v>
      </c>
      <c r="F33" t="s">
        <v>1028</v>
      </c>
      <c r="G33" t="s">
        <v>81</v>
      </c>
      <c r="H33" t="str">
        <f>IFERROR(VLOOKUP($C33,'Tantárgyi adatok'!B:F,3,FALSE),"nincs")</f>
        <v>Mérnökinformatikus</v>
      </c>
      <c r="I33" t="s">
        <v>105</v>
      </c>
      <c r="J33" t="str">
        <f>IFERROR(VLOOKUP($C33,'Tantárgyi adatok'!B:F,4,FALSE),"nincs")</f>
        <v>BSc</v>
      </c>
      <c r="K33" t="str">
        <f>IFERROR(VLOOKUP($C33,'Tantárgyi adatok'!B:F,5,FALSE),"nincs")</f>
        <v>Computer Engineering</v>
      </c>
    </row>
    <row r="34" spans="1:11" x14ac:dyDescent="0.25">
      <c r="A34" t="s">
        <v>531</v>
      </c>
      <c r="B34" t="s">
        <v>532</v>
      </c>
      <c r="C34" t="s">
        <v>47</v>
      </c>
      <c r="D34" t="str">
        <f>IFERROR(VLOOKUP($C34,'Tantárgyi adatok'!B:F,2,FALSE),"nincs")</f>
        <v>Szakdolgozat</v>
      </c>
      <c r="E34" t="s">
        <v>1027</v>
      </c>
      <c r="F34" t="s">
        <v>1028</v>
      </c>
      <c r="G34" t="s">
        <v>81</v>
      </c>
      <c r="H34" t="str">
        <f>IFERROR(VLOOKUP($C34,'Tantárgyi adatok'!B:F,3,FALSE),"nincs")</f>
        <v>Mérnökinformatikus</v>
      </c>
      <c r="I34" t="s">
        <v>133</v>
      </c>
      <c r="J34" t="str">
        <f>IFERROR(VLOOKUP($C34,'Tantárgyi adatok'!B:F,4,FALSE),"nincs")</f>
        <v>BSc</v>
      </c>
      <c r="K34" t="str">
        <f>IFERROR(VLOOKUP($C34,'Tantárgyi adatok'!B:F,5,FALSE),"nincs")</f>
        <v>Computer Engineering</v>
      </c>
    </row>
    <row r="35" spans="1:11" x14ac:dyDescent="0.25">
      <c r="A35" t="s">
        <v>533</v>
      </c>
      <c r="B35" t="s">
        <v>534</v>
      </c>
      <c r="C35" t="s">
        <v>47</v>
      </c>
      <c r="D35" t="str">
        <f>IFERROR(VLOOKUP($C35,'Tantárgyi adatok'!B:F,2,FALSE),"nincs")</f>
        <v>Szakdolgozat</v>
      </c>
      <c r="E35" t="s">
        <v>1029</v>
      </c>
      <c r="F35" t="s">
        <v>1030</v>
      </c>
      <c r="G35" t="s">
        <v>81</v>
      </c>
      <c r="H35" t="str">
        <f>IFERROR(VLOOKUP($C35,'Tantárgyi adatok'!B:F,3,FALSE),"nincs")</f>
        <v>Mérnökinformatikus</v>
      </c>
      <c r="I35" t="s">
        <v>133</v>
      </c>
      <c r="J35" t="str">
        <f>IFERROR(VLOOKUP($C35,'Tantárgyi adatok'!B:F,4,FALSE),"nincs")</f>
        <v>BSc</v>
      </c>
      <c r="K35" t="str">
        <f>IFERROR(VLOOKUP($C35,'Tantárgyi adatok'!B:F,5,FALSE),"nincs")</f>
        <v>Computer Engineering</v>
      </c>
    </row>
    <row r="36" spans="1:11" x14ac:dyDescent="0.25">
      <c r="A36" t="s">
        <v>535</v>
      </c>
      <c r="B36" t="s">
        <v>536</v>
      </c>
      <c r="C36" t="s">
        <v>47</v>
      </c>
      <c r="D36" t="str">
        <f>IFERROR(VLOOKUP($C36,'Tantárgyi adatok'!B:F,2,FALSE),"nincs")</f>
        <v>Szakdolgozat</v>
      </c>
      <c r="E36" t="s">
        <v>1031</v>
      </c>
      <c r="F36" t="s">
        <v>1032</v>
      </c>
      <c r="G36" t="s">
        <v>81</v>
      </c>
      <c r="H36" t="str">
        <f>IFERROR(VLOOKUP($C36,'Tantárgyi adatok'!B:F,3,FALSE),"nincs")</f>
        <v>Mérnökinformatikus</v>
      </c>
      <c r="I36" t="s">
        <v>133</v>
      </c>
      <c r="J36" t="str">
        <f>IFERROR(VLOOKUP($C36,'Tantárgyi adatok'!B:F,4,FALSE),"nincs")</f>
        <v>BSc</v>
      </c>
      <c r="K36" t="str">
        <f>IFERROR(VLOOKUP($C36,'Tantárgyi adatok'!B:F,5,FALSE),"nincs")</f>
        <v>Computer Engineering</v>
      </c>
    </row>
    <row r="37" spans="1:11" x14ac:dyDescent="0.25">
      <c r="A37" t="s">
        <v>537</v>
      </c>
      <c r="B37" t="s">
        <v>538</v>
      </c>
      <c r="C37" t="s">
        <v>47</v>
      </c>
      <c r="D37" t="str">
        <f>IFERROR(VLOOKUP($C37,'Tantárgyi adatok'!B:F,2,FALSE),"nincs")</f>
        <v>Szakdolgozat</v>
      </c>
      <c r="E37" t="s">
        <v>1033</v>
      </c>
      <c r="F37" t="s">
        <v>1034</v>
      </c>
      <c r="G37" t="s">
        <v>81</v>
      </c>
      <c r="H37" t="str">
        <f>IFERROR(VLOOKUP($C37,'Tantárgyi adatok'!B:F,3,FALSE),"nincs")</f>
        <v>Mérnökinformatikus</v>
      </c>
      <c r="I37" t="s">
        <v>133</v>
      </c>
      <c r="J37" t="str">
        <f>IFERROR(VLOOKUP($C37,'Tantárgyi adatok'!B:F,4,FALSE),"nincs")</f>
        <v>BSc</v>
      </c>
      <c r="K37" t="str">
        <f>IFERROR(VLOOKUP($C37,'Tantárgyi adatok'!B:F,5,FALSE),"nincs")</f>
        <v>Computer Engineering</v>
      </c>
    </row>
    <row r="38" spans="1:11" x14ac:dyDescent="0.25">
      <c r="A38" t="s">
        <v>539</v>
      </c>
      <c r="B38" t="s">
        <v>540</v>
      </c>
      <c r="C38" t="s">
        <v>47</v>
      </c>
      <c r="D38" t="str">
        <f>IFERROR(VLOOKUP($C38,'Tantárgyi adatok'!B:F,2,FALSE),"nincs")</f>
        <v>Szakdolgozat</v>
      </c>
      <c r="E38" t="s">
        <v>1035</v>
      </c>
      <c r="F38" t="s">
        <v>1036</v>
      </c>
      <c r="G38" t="s">
        <v>791</v>
      </c>
      <c r="H38" t="str">
        <f>IFERROR(VLOOKUP($C38,'Tantárgyi adatok'!B:F,3,FALSE),"nincs")</f>
        <v>Mérnökinformatikus</v>
      </c>
      <c r="I38" t="s">
        <v>134</v>
      </c>
      <c r="J38" t="str">
        <f>IFERROR(VLOOKUP($C38,'Tantárgyi adatok'!B:F,4,FALSE),"nincs")</f>
        <v>BSc</v>
      </c>
      <c r="K38" t="str">
        <f>IFERROR(VLOOKUP($C38,'Tantárgyi adatok'!B:F,5,FALSE),"nincs")</f>
        <v>Computer Engineering</v>
      </c>
    </row>
    <row r="39" spans="1:11" x14ac:dyDescent="0.25">
      <c r="A39" t="s">
        <v>541</v>
      </c>
      <c r="B39" t="s">
        <v>542</v>
      </c>
      <c r="C39" t="s">
        <v>47</v>
      </c>
      <c r="D39" t="str">
        <f>IFERROR(VLOOKUP($C39,'Tantárgyi adatok'!B:F,2,FALSE),"nincs")</f>
        <v>Szakdolgozat</v>
      </c>
      <c r="E39" t="s">
        <v>1037</v>
      </c>
      <c r="F39" t="s">
        <v>1038</v>
      </c>
      <c r="G39" t="s">
        <v>81</v>
      </c>
      <c r="H39" t="str">
        <f>IFERROR(VLOOKUP($C39,'Tantárgyi adatok'!B:F,3,FALSE),"nincs")</f>
        <v>Mérnökinformatikus</v>
      </c>
      <c r="I39" t="s">
        <v>157</v>
      </c>
      <c r="J39" t="str">
        <f>IFERROR(VLOOKUP($C39,'Tantárgyi adatok'!B:F,4,FALSE),"nincs")</f>
        <v>BSc</v>
      </c>
      <c r="K39" t="str">
        <f>IFERROR(VLOOKUP($C39,'Tantárgyi adatok'!B:F,5,FALSE),"nincs")</f>
        <v>Computer Engineering</v>
      </c>
    </row>
    <row r="40" spans="1:11" x14ac:dyDescent="0.25">
      <c r="A40" t="s">
        <v>155</v>
      </c>
      <c r="B40" t="s">
        <v>156</v>
      </c>
      <c r="C40" t="s">
        <v>11</v>
      </c>
      <c r="D40" t="str">
        <f>IFERROR(VLOOKUP($C40,'Tantárgyi adatok'!B:F,2,FALSE),"nincs")</f>
        <v>Diplomatervezés</v>
      </c>
      <c r="E40" t="s">
        <v>691</v>
      </c>
      <c r="F40" t="s">
        <v>692</v>
      </c>
      <c r="G40" t="s">
        <v>81</v>
      </c>
      <c r="H40" t="str">
        <f>IFERROR(VLOOKUP($C40,'Tantárgyi adatok'!B:F,3,FALSE),"nincs")</f>
        <v>Mérnökinformatikus</v>
      </c>
      <c r="I40" t="s">
        <v>157</v>
      </c>
      <c r="J40" t="str">
        <f>IFERROR(VLOOKUP($C40,'Tantárgyi adatok'!B:F,4,FALSE),"nincs")</f>
        <v>MSc</v>
      </c>
      <c r="K40" t="str">
        <f>IFERROR(VLOOKUP($C40,'Tantárgyi adatok'!B:F,5,FALSE),"nincs")</f>
        <v>Computer Engineering</v>
      </c>
    </row>
    <row r="41" spans="1:11" x14ac:dyDescent="0.25">
      <c r="A41" t="s">
        <v>455</v>
      </c>
      <c r="B41" t="s">
        <v>456</v>
      </c>
      <c r="C41" t="s">
        <v>45</v>
      </c>
      <c r="D41" t="str">
        <f>IFERROR(VLOOKUP($C41,'Tantárgyi adatok'!B:F,2,FALSE),"nincs")</f>
        <v>Szakdolgozat</v>
      </c>
      <c r="E41" t="s">
        <v>954</v>
      </c>
      <c r="F41" t="s">
        <v>955</v>
      </c>
      <c r="G41" t="s">
        <v>81</v>
      </c>
      <c r="H41" t="str">
        <f>IFERROR(VLOOKUP($C41,'Tantárgyi adatok'!B:F,3,FALSE),"nincs")</f>
        <v>Mérnökinformatikus</v>
      </c>
      <c r="I41" t="s">
        <v>157</v>
      </c>
      <c r="J41" t="str">
        <f>IFERROR(VLOOKUP($C41,'Tantárgyi adatok'!B:F,4,FALSE),"nincs")</f>
        <v>BSc</v>
      </c>
      <c r="K41" t="str">
        <f>IFERROR(VLOOKUP($C41,'Tantárgyi adatok'!B:F,5,FALSE),"nincs")</f>
        <v>Computer Engineering</v>
      </c>
    </row>
    <row r="42" spans="1:11" x14ac:dyDescent="0.25">
      <c r="A42" t="s">
        <v>457</v>
      </c>
      <c r="B42" t="s">
        <v>458</v>
      </c>
      <c r="C42" t="s">
        <v>45</v>
      </c>
      <c r="D42" t="str">
        <f>IFERROR(VLOOKUP($C42,'Tantárgyi adatok'!B:F,2,FALSE),"nincs")</f>
        <v>Szakdolgozat</v>
      </c>
      <c r="E42" t="s">
        <v>956</v>
      </c>
      <c r="F42" t="s">
        <v>957</v>
      </c>
      <c r="G42" t="s">
        <v>81</v>
      </c>
      <c r="H42" t="str">
        <f>IFERROR(VLOOKUP($C42,'Tantárgyi adatok'!B:F,3,FALSE),"nincs")</f>
        <v>Mérnökinformatikus</v>
      </c>
      <c r="I42" t="s">
        <v>157</v>
      </c>
      <c r="J42" t="str">
        <f>IFERROR(VLOOKUP($C42,'Tantárgyi adatok'!B:F,4,FALSE),"nincs")</f>
        <v>BSc</v>
      </c>
      <c r="K42" t="str">
        <f>IFERROR(VLOOKUP($C42,'Tantárgyi adatok'!B:F,5,FALSE),"nincs")</f>
        <v>Computer Engineering</v>
      </c>
    </row>
    <row r="43" spans="1:11" x14ac:dyDescent="0.25">
      <c r="A43" t="s">
        <v>459</v>
      </c>
      <c r="B43" t="s">
        <v>460</v>
      </c>
      <c r="C43" t="s">
        <v>45</v>
      </c>
      <c r="D43" t="str">
        <f>IFERROR(VLOOKUP($C43,'Tantárgyi adatok'!B:F,2,FALSE),"nincs")</f>
        <v>Szakdolgozat</v>
      </c>
      <c r="E43" t="s">
        <v>958</v>
      </c>
      <c r="F43" t="s">
        <v>959</v>
      </c>
      <c r="G43" t="s">
        <v>81</v>
      </c>
      <c r="H43" t="str">
        <f>IFERROR(VLOOKUP($C43,'Tantárgyi adatok'!B:F,3,FALSE),"nincs")</f>
        <v>Mérnökinformatikus</v>
      </c>
      <c r="I43" t="s">
        <v>157</v>
      </c>
      <c r="J43" t="str">
        <f>IFERROR(VLOOKUP($C43,'Tantárgyi adatok'!B:F,4,FALSE),"nincs")</f>
        <v>BSc</v>
      </c>
      <c r="K43" t="str">
        <f>IFERROR(VLOOKUP($C43,'Tantárgyi adatok'!B:F,5,FALSE),"nincs")</f>
        <v>Computer Engineering</v>
      </c>
    </row>
    <row r="44" spans="1:11" x14ac:dyDescent="0.25">
      <c r="A44" t="s">
        <v>158</v>
      </c>
      <c r="B44" t="s">
        <v>159</v>
      </c>
      <c r="C44" t="s">
        <v>11</v>
      </c>
      <c r="D44" t="str">
        <f>IFERROR(VLOOKUP($C44,'Tantárgyi adatok'!B:F,2,FALSE),"nincs")</f>
        <v>Diplomatervezés</v>
      </c>
      <c r="E44" t="s">
        <v>693</v>
      </c>
      <c r="F44" t="s">
        <v>694</v>
      </c>
      <c r="G44" t="s">
        <v>81</v>
      </c>
      <c r="H44" t="str">
        <f>IFERROR(VLOOKUP($C44,'Tantárgyi adatok'!B:F,3,FALSE),"nincs")</f>
        <v>Mérnökinformatikus</v>
      </c>
      <c r="I44" t="s">
        <v>157</v>
      </c>
      <c r="J44" t="str">
        <f>IFERROR(VLOOKUP($C44,'Tantárgyi adatok'!B:F,4,FALSE),"nincs")</f>
        <v>MSc</v>
      </c>
      <c r="K44" t="str">
        <f>IFERROR(VLOOKUP($C44,'Tantárgyi adatok'!B:F,5,FALSE),"nincs")</f>
        <v>Computer Engineering</v>
      </c>
    </row>
    <row r="45" spans="1:11" x14ac:dyDescent="0.25">
      <c r="A45" t="s">
        <v>160</v>
      </c>
      <c r="B45" t="s">
        <v>161</v>
      </c>
      <c r="C45" t="s">
        <v>11</v>
      </c>
      <c r="D45" t="str">
        <f>IFERROR(VLOOKUP($C45,'Tantárgyi adatok'!B:F,2,FALSE),"nincs")</f>
        <v>Diplomatervezés</v>
      </c>
      <c r="E45" t="s">
        <v>695</v>
      </c>
      <c r="F45" t="s">
        <v>696</v>
      </c>
      <c r="G45" t="s">
        <v>81</v>
      </c>
      <c r="H45" t="str">
        <f>IFERROR(VLOOKUP($C45,'Tantárgyi adatok'!B:F,3,FALSE),"nincs")</f>
        <v>Mérnökinformatikus</v>
      </c>
      <c r="I45" t="s">
        <v>104</v>
      </c>
      <c r="J45" t="str">
        <f>IFERROR(VLOOKUP($C45,'Tantárgyi adatok'!B:F,4,FALSE),"nincs")</f>
        <v>MSc</v>
      </c>
      <c r="K45" t="str">
        <f>IFERROR(VLOOKUP($C45,'Tantárgyi adatok'!B:F,5,FALSE),"nincs")</f>
        <v>Computer Engineering</v>
      </c>
    </row>
    <row r="46" spans="1:11" x14ac:dyDescent="0.25">
      <c r="A46" t="s">
        <v>461</v>
      </c>
      <c r="B46" t="s">
        <v>462</v>
      </c>
      <c r="C46" t="s">
        <v>45</v>
      </c>
      <c r="D46" t="str">
        <f>IFERROR(VLOOKUP($C46,'Tantárgyi adatok'!B:F,2,FALSE),"nincs")</f>
        <v>Szakdolgozat</v>
      </c>
      <c r="E46" t="s">
        <v>960</v>
      </c>
      <c r="F46" t="s">
        <v>961</v>
      </c>
      <c r="G46" t="s">
        <v>81</v>
      </c>
      <c r="H46" t="str">
        <f>IFERROR(VLOOKUP($C46,'Tantárgyi adatok'!B:F,3,FALSE),"nincs")</f>
        <v>Mérnökinformatikus</v>
      </c>
      <c r="I46" t="s">
        <v>112</v>
      </c>
      <c r="J46" t="str">
        <f>IFERROR(VLOOKUP($C46,'Tantárgyi adatok'!B:F,4,FALSE),"nincs")</f>
        <v>BSc</v>
      </c>
      <c r="K46" t="str">
        <f>IFERROR(VLOOKUP($C46,'Tantárgyi adatok'!B:F,5,FALSE),"nincs")</f>
        <v>Computer Engineering</v>
      </c>
    </row>
    <row r="47" spans="1:11" x14ac:dyDescent="0.25">
      <c r="A47" t="s">
        <v>543</v>
      </c>
      <c r="B47" t="s">
        <v>544</v>
      </c>
      <c r="C47" t="s">
        <v>47</v>
      </c>
      <c r="D47" t="str">
        <f>IFERROR(VLOOKUP($C47,'Tantárgyi adatok'!B:F,2,FALSE),"nincs")</f>
        <v>Szakdolgozat</v>
      </c>
      <c r="E47" t="s">
        <v>1039</v>
      </c>
      <c r="F47" t="s">
        <v>1040</v>
      </c>
      <c r="G47" t="s">
        <v>81</v>
      </c>
      <c r="H47" t="str">
        <f>IFERROR(VLOOKUP($C47,'Tantárgyi adatok'!B:F,3,FALSE),"nincs")</f>
        <v>Mérnökinformatikus</v>
      </c>
      <c r="I47" t="s">
        <v>112</v>
      </c>
      <c r="J47" t="str">
        <f>IFERROR(VLOOKUP($C47,'Tantárgyi adatok'!B:F,4,FALSE),"nincs")</f>
        <v>BSc</v>
      </c>
      <c r="K47" t="str">
        <f>IFERROR(VLOOKUP($C47,'Tantárgyi adatok'!B:F,5,FALSE),"nincs")</f>
        <v>Computer Engineering</v>
      </c>
    </row>
    <row r="48" spans="1:11" x14ac:dyDescent="0.25">
      <c r="A48" t="s">
        <v>162</v>
      </c>
      <c r="B48" t="s">
        <v>163</v>
      </c>
      <c r="C48" t="s">
        <v>11</v>
      </c>
      <c r="D48" t="str">
        <f>IFERROR(VLOOKUP($C48,'Tantárgyi adatok'!B:F,2,FALSE),"nincs")</f>
        <v>Diplomatervezés</v>
      </c>
      <c r="E48" t="s">
        <v>697</v>
      </c>
      <c r="F48" t="s">
        <v>698</v>
      </c>
      <c r="G48" t="s">
        <v>81</v>
      </c>
      <c r="H48" t="str">
        <f>IFERROR(VLOOKUP($C48,'Tantárgyi adatok'!B:F,3,FALSE),"nincs")</f>
        <v>Mérnökinformatikus</v>
      </c>
      <c r="I48" t="s">
        <v>112</v>
      </c>
      <c r="J48" t="str">
        <f>IFERROR(VLOOKUP($C48,'Tantárgyi adatok'!B:F,4,FALSE),"nincs")</f>
        <v>MSc</v>
      </c>
      <c r="K48" t="str">
        <f>IFERROR(VLOOKUP($C48,'Tantárgyi adatok'!B:F,5,FALSE),"nincs")</f>
        <v>Computer Engineering</v>
      </c>
    </row>
    <row r="49" spans="1:11" x14ac:dyDescent="0.25">
      <c r="A49" t="s">
        <v>545</v>
      </c>
      <c r="B49" t="s">
        <v>546</v>
      </c>
      <c r="C49" t="s">
        <v>47</v>
      </c>
      <c r="D49" t="str">
        <f>IFERROR(VLOOKUP($C49,'Tantárgyi adatok'!B:F,2,FALSE),"nincs")</f>
        <v>Szakdolgozat</v>
      </c>
      <c r="E49" t="s">
        <v>1041</v>
      </c>
      <c r="F49" t="s">
        <v>1042</v>
      </c>
      <c r="G49" t="s">
        <v>81</v>
      </c>
      <c r="H49" t="str">
        <f>IFERROR(VLOOKUP($C49,'Tantárgyi adatok'!B:F,3,FALSE),"nincs")</f>
        <v>Mérnökinformatikus</v>
      </c>
      <c r="I49" t="s">
        <v>112</v>
      </c>
      <c r="J49" t="str">
        <f>IFERROR(VLOOKUP($C49,'Tantárgyi adatok'!B:F,4,FALSE),"nincs")</f>
        <v>BSc</v>
      </c>
      <c r="K49" t="str">
        <f>IFERROR(VLOOKUP($C49,'Tantárgyi adatok'!B:F,5,FALSE),"nincs")</f>
        <v>Computer Engineering</v>
      </c>
    </row>
    <row r="50" spans="1:11" x14ac:dyDescent="0.25">
      <c r="A50" t="s">
        <v>547</v>
      </c>
      <c r="B50" t="s">
        <v>548</v>
      </c>
      <c r="C50" t="s">
        <v>47</v>
      </c>
      <c r="D50" t="str">
        <f>IFERROR(VLOOKUP($C50,'Tantárgyi adatok'!B:F,2,FALSE),"nincs")</f>
        <v>Szakdolgozat</v>
      </c>
      <c r="E50" t="s">
        <v>1043</v>
      </c>
      <c r="F50" t="s">
        <v>1044</v>
      </c>
      <c r="G50" t="s">
        <v>81</v>
      </c>
      <c r="H50" t="str">
        <f>IFERROR(VLOOKUP($C50,'Tantárgyi adatok'!B:F,3,FALSE),"nincs")</f>
        <v>Mérnökinformatikus</v>
      </c>
      <c r="I50" t="s">
        <v>140</v>
      </c>
      <c r="J50" t="str">
        <f>IFERROR(VLOOKUP($C50,'Tantárgyi adatok'!B:F,4,FALSE),"nincs")</f>
        <v>BSc</v>
      </c>
      <c r="K50" t="str">
        <f>IFERROR(VLOOKUP($C50,'Tantárgyi adatok'!B:F,5,FALSE),"nincs")</f>
        <v>Computer Engineering</v>
      </c>
    </row>
    <row r="51" spans="1:11" x14ac:dyDescent="0.25">
      <c r="A51" t="s">
        <v>549</v>
      </c>
      <c r="B51" t="s">
        <v>550</v>
      </c>
      <c r="C51" t="s">
        <v>47</v>
      </c>
      <c r="D51" t="str">
        <f>IFERROR(VLOOKUP($C51,'Tantárgyi adatok'!B:F,2,FALSE),"nincs")</f>
        <v>Szakdolgozat</v>
      </c>
      <c r="E51" t="s">
        <v>1045</v>
      </c>
      <c r="F51" t="s">
        <v>1046</v>
      </c>
      <c r="G51" t="s">
        <v>81</v>
      </c>
      <c r="H51" t="str">
        <f>IFERROR(VLOOKUP($C51,'Tantárgyi adatok'!B:F,3,FALSE),"nincs")</f>
        <v>Mérnökinformatikus</v>
      </c>
      <c r="I51" t="s">
        <v>140</v>
      </c>
      <c r="J51" t="str">
        <f>IFERROR(VLOOKUP($C51,'Tantárgyi adatok'!B:F,4,FALSE),"nincs")</f>
        <v>BSc</v>
      </c>
      <c r="K51" t="str">
        <f>IFERROR(VLOOKUP($C51,'Tantárgyi adatok'!B:F,5,FALSE),"nincs")</f>
        <v>Computer Engineering</v>
      </c>
    </row>
    <row r="52" spans="1:11" x14ac:dyDescent="0.25">
      <c r="A52" t="s">
        <v>551</v>
      </c>
      <c r="B52" t="s">
        <v>552</v>
      </c>
      <c r="C52" t="s">
        <v>47</v>
      </c>
      <c r="D52" t="str">
        <f>IFERROR(VLOOKUP($C52,'Tantárgyi adatok'!B:F,2,FALSE),"nincs")</f>
        <v>Szakdolgozat</v>
      </c>
      <c r="E52" t="s">
        <v>1047</v>
      </c>
      <c r="F52" t="s">
        <v>1048</v>
      </c>
      <c r="G52" t="s">
        <v>81</v>
      </c>
      <c r="H52" t="str">
        <f>IFERROR(VLOOKUP($C52,'Tantárgyi adatok'!B:F,3,FALSE),"nincs")</f>
        <v>Mérnökinformatikus</v>
      </c>
      <c r="I52" t="s">
        <v>140</v>
      </c>
      <c r="J52" t="str">
        <f>IFERROR(VLOOKUP($C52,'Tantárgyi adatok'!B:F,4,FALSE),"nincs")</f>
        <v>BSc</v>
      </c>
      <c r="K52" t="str">
        <f>IFERROR(VLOOKUP($C52,'Tantárgyi adatok'!B:F,5,FALSE),"nincs")</f>
        <v>Computer Engineering</v>
      </c>
    </row>
    <row r="53" spans="1:11" x14ac:dyDescent="0.25">
      <c r="A53" t="s">
        <v>553</v>
      </c>
      <c r="B53" t="s">
        <v>554</v>
      </c>
      <c r="C53" t="s">
        <v>47</v>
      </c>
      <c r="D53" t="str">
        <f>IFERROR(VLOOKUP($C53,'Tantárgyi adatok'!B:F,2,FALSE),"nincs")</f>
        <v>Szakdolgozat</v>
      </c>
      <c r="E53" t="s">
        <v>1049</v>
      </c>
      <c r="F53" t="s">
        <v>1050</v>
      </c>
      <c r="G53" t="s">
        <v>81</v>
      </c>
      <c r="H53" t="str">
        <f>IFERROR(VLOOKUP($C53,'Tantárgyi adatok'!B:F,3,FALSE),"nincs")</f>
        <v>Mérnökinformatikus</v>
      </c>
      <c r="I53" t="s">
        <v>140</v>
      </c>
      <c r="J53" t="str">
        <f>IFERROR(VLOOKUP($C53,'Tantárgyi adatok'!B:F,4,FALSE),"nincs")</f>
        <v>BSc</v>
      </c>
      <c r="K53" t="str">
        <f>IFERROR(VLOOKUP($C53,'Tantárgyi adatok'!B:F,5,FALSE),"nincs")</f>
        <v>Computer Engineering</v>
      </c>
    </row>
    <row r="54" spans="1:11" x14ac:dyDescent="0.25">
      <c r="A54" t="s">
        <v>555</v>
      </c>
      <c r="B54" t="s">
        <v>556</v>
      </c>
      <c r="C54" t="s">
        <v>47</v>
      </c>
      <c r="D54" t="str">
        <f>IFERROR(VLOOKUP($C54,'Tantárgyi adatok'!B:F,2,FALSE),"nincs")</f>
        <v>Szakdolgozat</v>
      </c>
      <c r="E54" t="s">
        <v>1051</v>
      </c>
      <c r="F54" t="s">
        <v>1052</v>
      </c>
      <c r="G54" t="s">
        <v>81</v>
      </c>
      <c r="H54" t="str">
        <f>IFERROR(VLOOKUP($C54,'Tantárgyi adatok'!B:F,3,FALSE),"nincs")</f>
        <v>Mérnökinformatikus</v>
      </c>
      <c r="I54" t="s">
        <v>140</v>
      </c>
      <c r="J54" t="str">
        <f>IFERROR(VLOOKUP($C54,'Tantárgyi adatok'!B:F,4,FALSE),"nincs")</f>
        <v>BSc</v>
      </c>
      <c r="K54" t="str">
        <f>IFERROR(VLOOKUP($C54,'Tantárgyi adatok'!B:F,5,FALSE),"nincs")</f>
        <v>Computer Engineering</v>
      </c>
    </row>
    <row r="55" spans="1:11" x14ac:dyDescent="0.25">
      <c r="A55" t="s">
        <v>164</v>
      </c>
      <c r="B55" t="s">
        <v>165</v>
      </c>
      <c r="C55" t="s">
        <v>11</v>
      </c>
      <c r="D55" t="str">
        <f>IFERROR(VLOOKUP($C55,'Tantárgyi adatok'!B:F,2,FALSE),"nincs")</f>
        <v>Diplomatervezés</v>
      </c>
      <c r="E55" t="s">
        <v>699</v>
      </c>
      <c r="F55" t="s">
        <v>700</v>
      </c>
      <c r="G55" t="s">
        <v>81</v>
      </c>
      <c r="H55" t="str">
        <f>IFERROR(VLOOKUP($C55,'Tantárgyi adatok'!B:F,3,FALSE),"nincs")</f>
        <v>Mérnökinformatikus</v>
      </c>
      <c r="I55" t="s">
        <v>140</v>
      </c>
      <c r="J55" t="str">
        <f>IFERROR(VLOOKUP($C55,'Tantárgyi adatok'!B:F,4,FALSE),"nincs")</f>
        <v>MSc</v>
      </c>
      <c r="K55" t="str">
        <f>IFERROR(VLOOKUP($C55,'Tantárgyi adatok'!B:F,5,FALSE),"nincs")</f>
        <v>Computer Engineering</v>
      </c>
    </row>
    <row r="56" spans="1:11" x14ac:dyDescent="0.25">
      <c r="A56" t="s">
        <v>557</v>
      </c>
      <c r="B56" t="s">
        <v>558</v>
      </c>
      <c r="C56" t="s">
        <v>47</v>
      </c>
      <c r="D56" t="str">
        <f>IFERROR(VLOOKUP($C56,'Tantárgyi adatok'!B:F,2,FALSE),"nincs")</f>
        <v>Szakdolgozat</v>
      </c>
      <c r="E56" t="s">
        <v>1053</v>
      </c>
      <c r="F56" t="s">
        <v>1054</v>
      </c>
      <c r="G56" t="s">
        <v>81</v>
      </c>
      <c r="H56" t="str">
        <f>IFERROR(VLOOKUP($C56,'Tantárgyi adatok'!B:F,3,FALSE),"nincs")</f>
        <v>Mérnökinformatikus</v>
      </c>
      <c r="I56" t="s">
        <v>139</v>
      </c>
      <c r="J56" t="str">
        <f>IFERROR(VLOOKUP($C56,'Tantárgyi adatok'!B:F,4,FALSE),"nincs")</f>
        <v>BSc</v>
      </c>
      <c r="K56" t="str">
        <f>IFERROR(VLOOKUP($C56,'Tantárgyi adatok'!B:F,5,FALSE),"nincs")</f>
        <v>Computer Engineering</v>
      </c>
    </row>
    <row r="57" spans="1:11" x14ac:dyDescent="0.25">
      <c r="A57" t="s">
        <v>202</v>
      </c>
      <c r="B57" t="s">
        <v>559</v>
      </c>
      <c r="C57" t="s">
        <v>47</v>
      </c>
      <c r="D57" t="str">
        <f>IFERROR(VLOOKUP($C57,'Tantárgyi adatok'!B:F,2,FALSE),"nincs")</f>
        <v>Szakdolgozat</v>
      </c>
      <c r="E57" t="s">
        <v>1055</v>
      </c>
      <c r="F57" t="s">
        <v>1056</v>
      </c>
      <c r="G57" t="s">
        <v>81</v>
      </c>
      <c r="H57" t="str">
        <f>IFERROR(VLOOKUP($C57,'Tantárgyi adatok'!B:F,3,FALSE),"nincs")</f>
        <v>Mérnökinformatikus</v>
      </c>
      <c r="I57" t="s">
        <v>105</v>
      </c>
      <c r="J57" t="str">
        <f>IFERROR(VLOOKUP($C57,'Tantárgyi adatok'!B:F,4,FALSE),"nincs")</f>
        <v>BSc</v>
      </c>
      <c r="K57" t="str">
        <f>IFERROR(VLOOKUP($C57,'Tantárgyi adatok'!B:F,5,FALSE),"nincs")</f>
        <v>Computer Engineering</v>
      </c>
    </row>
    <row r="58" spans="1:11" x14ac:dyDescent="0.25">
      <c r="A58" t="s">
        <v>166</v>
      </c>
      <c r="B58" t="s">
        <v>167</v>
      </c>
      <c r="C58" t="s">
        <v>11</v>
      </c>
      <c r="D58" t="str">
        <f>IFERROR(VLOOKUP($C58,'Tantárgyi adatok'!B:F,2,FALSE),"nincs")</f>
        <v>Diplomatervezés</v>
      </c>
      <c r="E58" t="s">
        <v>701</v>
      </c>
      <c r="F58" t="s">
        <v>702</v>
      </c>
      <c r="G58" t="s">
        <v>81</v>
      </c>
      <c r="H58" t="str">
        <f>IFERROR(VLOOKUP($C58,'Tantárgyi adatok'!B:F,3,FALSE),"nincs")</f>
        <v>Mérnökinformatikus</v>
      </c>
      <c r="I58" t="s">
        <v>168</v>
      </c>
      <c r="J58" t="str">
        <f>IFERROR(VLOOKUP($C58,'Tantárgyi adatok'!B:F,4,FALSE),"nincs")</f>
        <v>MSc</v>
      </c>
      <c r="K58" t="str">
        <f>IFERROR(VLOOKUP($C58,'Tantárgyi adatok'!B:F,5,FALSE),"nincs")</f>
        <v>Computer Engineering</v>
      </c>
    </row>
    <row r="59" spans="1:11" x14ac:dyDescent="0.25">
      <c r="A59" t="s">
        <v>322</v>
      </c>
      <c r="B59" t="s">
        <v>323</v>
      </c>
      <c r="C59" t="s">
        <v>19</v>
      </c>
      <c r="D59" t="str">
        <f>IFERROR(VLOOKUP($C59,'Tantárgyi adatok'!B:F,2,FALSE),"nincs")</f>
        <v>Diplomatervezés</v>
      </c>
      <c r="E59" t="s">
        <v>832</v>
      </c>
      <c r="F59" t="s">
        <v>833</v>
      </c>
      <c r="G59" t="s">
        <v>81</v>
      </c>
      <c r="H59" t="str">
        <f>IFERROR(VLOOKUP($C59,'Tantárgyi adatok'!B:F,3,FALSE),"nincs")</f>
        <v>Mechatronikai mérnök</v>
      </c>
      <c r="I59" t="s">
        <v>321</v>
      </c>
      <c r="J59" t="str">
        <f>IFERROR(VLOOKUP($C59,'Tantárgyi adatok'!B:F,4,FALSE),"nincs")</f>
        <v>MSc</v>
      </c>
      <c r="K59" t="str">
        <f>IFERROR(VLOOKUP($C59,'Tantárgyi adatok'!B:F,5,FALSE),"nincs")</f>
        <v>Mechatronic Engineering</v>
      </c>
    </row>
    <row r="60" spans="1:11" x14ac:dyDescent="0.25">
      <c r="A60" t="s">
        <v>1216</v>
      </c>
      <c r="B60" t="s">
        <v>1217</v>
      </c>
      <c r="C60" t="s">
        <v>47</v>
      </c>
      <c r="D60" t="str">
        <f>IFERROR(VLOOKUP($C60,'Tantárgyi adatok'!B:F,2,FALSE),"nincs")</f>
        <v>Szakdolgozat</v>
      </c>
      <c r="E60" t="s">
        <v>1342</v>
      </c>
      <c r="F60" t="s">
        <v>1343</v>
      </c>
      <c r="G60" t="s">
        <v>81</v>
      </c>
      <c r="H60" t="str">
        <f>IFERROR(VLOOKUP($C60,'Tantárgyi adatok'!B:F,3,FALSE),"nincs")</f>
        <v>Mérnökinformatikus</v>
      </c>
      <c r="I60" t="s">
        <v>226</v>
      </c>
      <c r="J60" t="str">
        <f>IFERROR(VLOOKUP($C60,'Tantárgyi adatok'!B:F,4,FALSE),"nincs")</f>
        <v>BSc</v>
      </c>
      <c r="K60" t="str">
        <f>IFERROR(VLOOKUP($C60,'Tantárgyi adatok'!B:F,5,FALSE),"nincs")</f>
        <v>Computer Engineering</v>
      </c>
    </row>
    <row r="61" spans="1:11" x14ac:dyDescent="0.25">
      <c r="A61" t="s">
        <v>169</v>
      </c>
      <c r="B61" t="s">
        <v>170</v>
      </c>
      <c r="C61" t="s">
        <v>11</v>
      </c>
      <c r="D61" t="str">
        <f>IFERROR(VLOOKUP($C61,'Tantárgyi adatok'!B:F,2,FALSE),"nincs")</f>
        <v>Diplomatervezés</v>
      </c>
      <c r="E61" t="s">
        <v>703</v>
      </c>
      <c r="F61" t="s">
        <v>704</v>
      </c>
      <c r="G61" t="s">
        <v>81</v>
      </c>
      <c r="H61" t="str">
        <f>IFERROR(VLOOKUP($C61,'Tantárgyi adatok'!B:F,3,FALSE),"nincs")</f>
        <v>Mérnökinformatikus</v>
      </c>
      <c r="I61" t="s">
        <v>138</v>
      </c>
      <c r="J61" t="str">
        <f>IFERROR(VLOOKUP($C61,'Tantárgyi adatok'!B:F,4,FALSE),"nincs")</f>
        <v>MSc</v>
      </c>
      <c r="K61" t="str">
        <f>IFERROR(VLOOKUP($C61,'Tantárgyi adatok'!B:F,5,FALSE),"nincs")</f>
        <v>Computer Engineering</v>
      </c>
    </row>
    <row r="62" spans="1:11" x14ac:dyDescent="0.25">
      <c r="A62" t="s">
        <v>560</v>
      </c>
      <c r="B62" t="s">
        <v>561</v>
      </c>
      <c r="C62" t="s">
        <v>47</v>
      </c>
      <c r="D62" t="str">
        <f>IFERROR(VLOOKUP($C62,'Tantárgyi adatok'!B:F,2,FALSE),"nincs")</f>
        <v>Szakdolgozat</v>
      </c>
      <c r="E62" t="s">
        <v>1057</v>
      </c>
      <c r="F62" t="s">
        <v>1058</v>
      </c>
      <c r="G62" t="s">
        <v>81</v>
      </c>
      <c r="H62" t="str">
        <f>IFERROR(VLOOKUP($C62,'Tantárgyi adatok'!B:F,3,FALSE),"nincs")</f>
        <v>Mérnökinformatikus</v>
      </c>
      <c r="I62" t="s">
        <v>346</v>
      </c>
      <c r="J62" t="str">
        <f>IFERROR(VLOOKUP($C62,'Tantárgyi adatok'!B:F,4,FALSE),"nincs")</f>
        <v>BSc</v>
      </c>
      <c r="K62" t="str">
        <f>IFERROR(VLOOKUP($C62,'Tantárgyi adatok'!B:F,5,FALSE),"nincs")</f>
        <v>Computer Engineering</v>
      </c>
    </row>
    <row r="63" spans="1:11" x14ac:dyDescent="0.25">
      <c r="A63" t="s">
        <v>171</v>
      </c>
      <c r="B63" t="s">
        <v>172</v>
      </c>
      <c r="C63" t="s">
        <v>11</v>
      </c>
      <c r="D63" t="str">
        <f>IFERROR(VLOOKUP($C63,'Tantárgyi adatok'!B:F,2,FALSE),"nincs")</f>
        <v>Diplomatervezés</v>
      </c>
      <c r="E63" t="s">
        <v>705</v>
      </c>
      <c r="F63" t="s">
        <v>706</v>
      </c>
      <c r="G63" t="s">
        <v>81</v>
      </c>
      <c r="H63" t="str">
        <f>IFERROR(VLOOKUP($C63,'Tantárgyi adatok'!B:F,3,FALSE),"nincs")</f>
        <v>Mérnökinformatikus</v>
      </c>
      <c r="I63" t="s">
        <v>173</v>
      </c>
      <c r="J63" t="str">
        <f>IFERROR(VLOOKUP($C63,'Tantárgyi adatok'!B:F,4,FALSE),"nincs")</f>
        <v>MSc</v>
      </c>
      <c r="K63" t="str">
        <f>IFERROR(VLOOKUP($C63,'Tantárgyi adatok'!B:F,5,FALSE),"nincs")</f>
        <v>Computer Engineering</v>
      </c>
    </row>
    <row r="64" spans="1:11" x14ac:dyDescent="0.25">
      <c r="A64" t="s">
        <v>562</v>
      </c>
      <c r="B64" t="s">
        <v>563</v>
      </c>
      <c r="C64" t="s">
        <v>47</v>
      </c>
      <c r="D64" t="str">
        <f>IFERROR(VLOOKUP($C64,'Tantárgyi adatok'!B:F,2,FALSE),"nincs")</f>
        <v>Szakdolgozat</v>
      </c>
      <c r="E64" t="s">
        <v>1059</v>
      </c>
      <c r="F64" t="s">
        <v>1060</v>
      </c>
      <c r="G64" t="s">
        <v>81</v>
      </c>
      <c r="H64" t="str">
        <f>IFERROR(VLOOKUP($C64,'Tantárgyi adatok'!B:F,3,FALSE),"nincs")</f>
        <v>Mérnökinformatikus</v>
      </c>
      <c r="I64" t="s">
        <v>133</v>
      </c>
      <c r="J64" t="str">
        <f>IFERROR(VLOOKUP($C64,'Tantárgyi adatok'!B:F,4,FALSE),"nincs")</f>
        <v>BSc</v>
      </c>
      <c r="K64" t="str">
        <f>IFERROR(VLOOKUP($C64,'Tantárgyi adatok'!B:F,5,FALSE),"nincs")</f>
        <v>Computer Engineering</v>
      </c>
    </row>
    <row r="65" spans="1:11" x14ac:dyDescent="0.25">
      <c r="A65" t="s">
        <v>387</v>
      </c>
      <c r="B65" t="s">
        <v>388</v>
      </c>
      <c r="C65" t="s">
        <v>41</v>
      </c>
      <c r="D65" t="str">
        <f>IFERROR(VLOOKUP($C65,'Tantárgyi adatok'!B:F,2,FALSE),"nincs")</f>
        <v>Szakdolgozat</v>
      </c>
      <c r="E65" t="s">
        <v>888</v>
      </c>
      <c r="F65" t="s">
        <v>889</v>
      </c>
      <c r="G65" t="s">
        <v>81</v>
      </c>
      <c r="H65" t="str">
        <f>IFERROR(VLOOKUP($C65,'Tantárgyi adatok'!B:F,3,FALSE),"nincs")</f>
        <v>Villamosmérnök</v>
      </c>
      <c r="I65" t="s">
        <v>146</v>
      </c>
      <c r="J65" t="str">
        <f>IFERROR(VLOOKUP($C65,'Tantárgyi adatok'!B:F,4,FALSE),"nincs")</f>
        <v>BSc</v>
      </c>
      <c r="K65" t="str">
        <f>IFERROR(VLOOKUP($C65,'Tantárgyi adatok'!B:F,5,FALSE),"nincs")</f>
        <v>Electrical Engineering</v>
      </c>
    </row>
    <row r="66" spans="1:11" x14ac:dyDescent="0.25">
      <c r="A66" t="s">
        <v>1218</v>
      </c>
      <c r="B66" t="s">
        <v>1219</v>
      </c>
      <c r="C66" t="s">
        <v>47</v>
      </c>
      <c r="D66" t="str">
        <f>IFERROR(VLOOKUP($C66,'Tantárgyi adatok'!B:F,2,FALSE),"nincs")</f>
        <v>Szakdolgozat</v>
      </c>
      <c r="E66" t="s">
        <v>1344</v>
      </c>
      <c r="F66" t="s">
        <v>1345</v>
      </c>
      <c r="G66" t="s">
        <v>791</v>
      </c>
      <c r="H66" t="str">
        <f>IFERROR(VLOOKUP($C66,'Tantárgyi adatok'!B:F,3,FALSE),"nincs")</f>
        <v>Mérnökinformatikus</v>
      </c>
      <c r="I66" t="s">
        <v>146</v>
      </c>
      <c r="J66" t="str">
        <f>IFERROR(VLOOKUP($C66,'Tantárgyi adatok'!B:F,4,FALSE),"nincs")</f>
        <v>BSc</v>
      </c>
      <c r="K66" t="str">
        <f>IFERROR(VLOOKUP($C66,'Tantárgyi adatok'!B:F,5,FALSE),"nincs")</f>
        <v>Computer Engineering</v>
      </c>
    </row>
    <row r="67" spans="1:11" x14ac:dyDescent="0.25">
      <c r="A67" t="s">
        <v>564</v>
      </c>
      <c r="B67" t="s">
        <v>565</v>
      </c>
      <c r="C67" t="s">
        <v>47</v>
      </c>
      <c r="D67" t="str">
        <f>IFERROR(VLOOKUP($C67,'Tantárgyi adatok'!B:F,2,FALSE),"nincs")</f>
        <v>Szakdolgozat</v>
      </c>
      <c r="E67" t="s">
        <v>1061</v>
      </c>
      <c r="F67" t="s">
        <v>1062</v>
      </c>
      <c r="G67" t="s">
        <v>81</v>
      </c>
      <c r="H67" t="str">
        <f>IFERROR(VLOOKUP($C67,'Tantárgyi adatok'!B:F,3,FALSE),"nincs")</f>
        <v>Mérnökinformatikus</v>
      </c>
      <c r="I67" t="s">
        <v>146</v>
      </c>
      <c r="J67" t="str">
        <f>IFERROR(VLOOKUP($C67,'Tantárgyi adatok'!B:F,4,FALSE),"nincs")</f>
        <v>BSc</v>
      </c>
      <c r="K67" t="str">
        <f>IFERROR(VLOOKUP($C67,'Tantárgyi adatok'!B:F,5,FALSE),"nincs")</f>
        <v>Computer Engineering</v>
      </c>
    </row>
    <row r="68" spans="1:11" x14ac:dyDescent="0.25">
      <c r="A68" t="s">
        <v>354</v>
      </c>
      <c r="B68" t="s">
        <v>355</v>
      </c>
      <c r="C68" t="s">
        <v>39</v>
      </c>
      <c r="D68" t="str">
        <f>IFERROR(VLOOKUP($C68,'Tantárgyi adatok'!B:F,2,FALSE),"nincs")</f>
        <v>Szakdolgozat</v>
      </c>
      <c r="E68" t="s">
        <v>858</v>
      </c>
      <c r="F68" t="s">
        <v>859</v>
      </c>
      <c r="G68" t="s">
        <v>81</v>
      </c>
      <c r="H68" t="str">
        <f>IFERROR(VLOOKUP($C68,'Tantárgyi adatok'!B:F,3,FALSE),"nincs")</f>
        <v>Mechatronikai mérnök</v>
      </c>
      <c r="I68" t="s">
        <v>321</v>
      </c>
      <c r="J68" t="str">
        <f>IFERROR(VLOOKUP($C68,'Tantárgyi adatok'!B:F,4,FALSE),"nincs")</f>
        <v>BSc</v>
      </c>
      <c r="K68" t="str">
        <f>IFERROR(VLOOKUP($C68,'Tantárgyi adatok'!B:F,5,FALSE),"nincs")</f>
        <v>Electrical Engineering</v>
      </c>
    </row>
    <row r="69" spans="1:11" x14ac:dyDescent="0.25">
      <c r="A69" t="s">
        <v>463</v>
      </c>
      <c r="B69" t="s">
        <v>464</v>
      </c>
      <c r="C69" t="s">
        <v>45</v>
      </c>
      <c r="D69" t="str">
        <f>IFERROR(VLOOKUP($C69,'Tantárgyi adatok'!B:F,2,FALSE),"nincs")</f>
        <v>Szakdolgozat</v>
      </c>
      <c r="E69" t="s">
        <v>962</v>
      </c>
      <c r="F69" t="s">
        <v>963</v>
      </c>
      <c r="G69" t="s">
        <v>81</v>
      </c>
      <c r="H69" t="str">
        <f>IFERROR(VLOOKUP($C69,'Tantárgyi adatok'!B:F,3,FALSE),"nincs")</f>
        <v>Mérnökinformatikus</v>
      </c>
      <c r="I69" t="s">
        <v>136</v>
      </c>
      <c r="J69" t="str">
        <f>IFERROR(VLOOKUP($C69,'Tantárgyi adatok'!B:F,4,FALSE),"nincs")</f>
        <v>BSc</v>
      </c>
      <c r="K69" t="str">
        <f>IFERROR(VLOOKUP($C69,'Tantárgyi adatok'!B:F,5,FALSE),"nincs")</f>
        <v>Computer Engineering</v>
      </c>
    </row>
    <row r="70" spans="1:11" x14ac:dyDescent="0.25">
      <c r="A70" t="s">
        <v>465</v>
      </c>
      <c r="B70" t="s">
        <v>466</v>
      </c>
      <c r="C70" t="s">
        <v>45</v>
      </c>
      <c r="D70" t="str">
        <f>IFERROR(VLOOKUP($C70,'Tantárgyi adatok'!B:F,2,FALSE),"nincs")</f>
        <v>Szakdolgozat</v>
      </c>
      <c r="E70" t="s">
        <v>964</v>
      </c>
      <c r="F70" t="s">
        <v>965</v>
      </c>
      <c r="G70" t="s">
        <v>81</v>
      </c>
      <c r="H70" t="str">
        <f>IFERROR(VLOOKUP($C70,'Tantárgyi adatok'!B:F,3,FALSE),"nincs")</f>
        <v>Mérnökinformatikus</v>
      </c>
      <c r="I70" t="s">
        <v>181</v>
      </c>
      <c r="J70" t="str">
        <f>IFERROR(VLOOKUP($C70,'Tantárgyi adatok'!B:F,4,FALSE),"nincs")</f>
        <v>BSc</v>
      </c>
      <c r="K70" t="str">
        <f>IFERROR(VLOOKUP($C70,'Tantárgyi adatok'!B:F,5,FALSE),"nincs")</f>
        <v>Computer Engineering</v>
      </c>
    </row>
    <row r="71" spans="1:11" x14ac:dyDescent="0.25">
      <c r="A71" t="s">
        <v>566</v>
      </c>
      <c r="B71" t="s">
        <v>567</v>
      </c>
      <c r="C71" t="s">
        <v>47</v>
      </c>
      <c r="D71" t="str">
        <f>IFERROR(VLOOKUP($C71,'Tantárgyi adatok'!B:F,2,FALSE),"nincs")</f>
        <v>Szakdolgozat</v>
      </c>
      <c r="E71" t="s">
        <v>1063</v>
      </c>
      <c r="F71" t="s">
        <v>1064</v>
      </c>
      <c r="G71" t="s">
        <v>81</v>
      </c>
      <c r="H71" t="str">
        <f>IFERROR(VLOOKUP($C71,'Tantárgyi adatok'!B:F,3,FALSE),"nincs")</f>
        <v>Mérnökinformatikus</v>
      </c>
      <c r="I71" t="s">
        <v>157</v>
      </c>
      <c r="J71" t="str">
        <f>IFERROR(VLOOKUP($C71,'Tantárgyi adatok'!B:F,4,FALSE),"nincs")</f>
        <v>BSc</v>
      </c>
      <c r="K71" t="str">
        <f>IFERROR(VLOOKUP($C71,'Tantárgyi adatok'!B:F,5,FALSE),"nincs")</f>
        <v>Computer Engineering</v>
      </c>
    </row>
    <row r="72" spans="1:11" x14ac:dyDescent="0.25">
      <c r="A72" t="s">
        <v>278</v>
      </c>
      <c r="B72" t="s">
        <v>279</v>
      </c>
      <c r="C72" t="s">
        <v>15</v>
      </c>
      <c r="D72" t="str">
        <f>IFERROR(VLOOKUP($C72,'Tantárgyi adatok'!B:F,2,FALSE),"nincs")</f>
        <v>Diplomatervezés</v>
      </c>
      <c r="E72" t="s">
        <v>798</v>
      </c>
      <c r="F72" t="s">
        <v>799</v>
      </c>
      <c r="G72" t="s">
        <v>81</v>
      </c>
      <c r="H72" t="str">
        <f>IFERROR(VLOOKUP($C72,'Tantárgyi adatok'!B:F,3,FALSE),"nincs")</f>
        <v>Villamosmérnök</v>
      </c>
      <c r="I72" t="s">
        <v>280</v>
      </c>
      <c r="J72" t="str">
        <f>IFERROR(VLOOKUP($C72,'Tantárgyi adatok'!B:F,4,FALSE),"nincs")</f>
        <v>MSc</v>
      </c>
      <c r="K72" t="str">
        <f>IFERROR(VLOOKUP($C72,'Tantárgyi adatok'!B:F,5,FALSE),"nincs")</f>
        <v>Electrical Engineering</v>
      </c>
    </row>
    <row r="73" spans="1:11" x14ac:dyDescent="0.25">
      <c r="A73" t="s">
        <v>281</v>
      </c>
      <c r="B73" t="s">
        <v>282</v>
      </c>
      <c r="C73" t="s">
        <v>15</v>
      </c>
      <c r="D73" t="str">
        <f>IFERROR(VLOOKUP($C73,'Tantárgyi adatok'!B:F,2,FALSE),"nincs")</f>
        <v>Diplomatervezés</v>
      </c>
      <c r="E73" t="s">
        <v>798</v>
      </c>
      <c r="F73" t="s">
        <v>799</v>
      </c>
      <c r="G73" t="s">
        <v>81</v>
      </c>
      <c r="H73" t="str">
        <f>IFERROR(VLOOKUP($C73,'Tantárgyi adatok'!B:F,3,FALSE),"nincs")</f>
        <v>Villamosmérnök</v>
      </c>
      <c r="I73" t="s">
        <v>280</v>
      </c>
      <c r="J73" t="str">
        <f>IFERROR(VLOOKUP($C73,'Tantárgyi adatok'!B:F,4,FALSE),"nincs")</f>
        <v>MSc</v>
      </c>
      <c r="K73" t="str">
        <f>IFERROR(VLOOKUP($C73,'Tantárgyi adatok'!B:F,5,FALSE),"nincs")</f>
        <v>Electrical Engineering</v>
      </c>
    </row>
    <row r="74" spans="1:11" x14ac:dyDescent="0.25">
      <c r="A74" t="s">
        <v>389</v>
      </c>
      <c r="B74" t="s">
        <v>390</v>
      </c>
      <c r="C74" t="s">
        <v>41</v>
      </c>
      <c r="D74" t="str">
        <f>IFERROR(VLOOKUP($C74,'Tantárgyi adatok'!B:F,2,FALSE),"nincs")</f>
        <v>Szakdolgozat</v>
      </c>
      <c r="E74" t="s">
        <v>890</v>
      </c>
      <c r="F74" t="s">
        <v>891</v>
      </c>
      <c r="G74" t="s">
        <v>81</v>
      </c>
      <c r="H74" t="str">
        <f>IFERROR(VLOOKUP($C74,'Tantárgyi adatok'!B:F,3,FALSE),"nincs")</f>
        <v>Villamosmérnök</v>
      </c>
      <c r="I74" t="s">
        <v>280</v>
      </c>
      <c r="J74" t="str">
        <f>IFERROR(VLOOKUP($C74,'Tantárgyi adatok'!B:F,4,FALSE),"nincs")</f>
        <v>BSc</v>
      </c>
      <c r="K74" t="str">
        <f>IFERROR(VLOOKUP($C74,'Tantárgyi adatok'!B:F,5,FALSE),"nincs")</f>
        <v>Electrical Engineering</v>
      </c>
    </row>
    <row r="75" spans="1:11" x14ac:dyDescent="0.25">
      <c r="A75" t="s">
        <v>568</v>
      </c>
      <c r="B75" t="s">
        <v>569</v>
      </c>
      <c r="C75" t="s">
        <v>47</v>
      </c>
      <c r="D75" t="str">
        <f>IFERROR(VLOOKUP($C75,'Tantárgyi adatok'!B:F,2,FALSE),"nincs")</f>
        <v>Szakdolgozat</v>
      </c>
      <c r="E75" t="s">
        <v>1065</v>
      </c>
      <c r="F75" t="s">
        <v>1066</v>
      </c>
      <c r="G75" t="s">
        <v>81</v>
      </c>
      <c r="H75" t="str">
        <f>IFERROR(VLOOKUP($C75,'Tantárgyi adatok'!B:F,3,FALSE),"nincs")</f>
        <v>Mérnökinformatikus</v>
      </c>
      <c r="I75" t="s">
        <v>142</v>
      </c>
      <c r="J75" t="str">
        <f>IFERROR(VLOOKUP($C75,'Tantárgyi adatok'!B:F,4,FALSE),"nincs")</f>
        <v>BSc</v>
      </c>
      <c r="K75" t="str">
        <f>IFERROR(VLOOKUP($C75,'Tantárgyi adatok'!B:F,5,FALSE),"nincs")</f>
        <v>Computer Engineering</v>
      </c>
    </row>
    <row r="76" spans="1:11" x14ac:dyDescent="0.25">
      <c r="A76" t="s">
        <v>391</v>
      </c>
      <c r="B76" t="s">
        <v>392</v>
      </c>
      <c r="C76" t="s">
        <v>41</v>
      </c>
      <c r="D76" t="str">
        <f>IFERROR(VLOOKUP($C76,'Tantárgyi adatok'!B:F,2,FALSE),"nincs")</f>
        <v>Szakdolgozat</v>
      </c>
      <c r="E76" t="s">
        <v>892</v>
      </c>
      <c r="F76" t="s">
        <v>893</v>
      </c>
      <c r="G76" t="s">
        <v>81</v>
      </c>
      <c r="H76" t="str">
        <f>IFERROR(VLOOKUP($C76,'Tantárgyi adatok'!B:F,3,FALSE),"nincs")</f>
        <v>Villamosmérnök</v>
      </c>
      <c r="I76" t="s">
        <v>202</v>
      </c>
      <c r="J76" t="str">
        <f>IFERROR(VLOOKUP($C76,'Tantárgyi adatok'!B:F,4,FALSE),"nincs")</f>
        <v>BSc</v>
      </c>
      <c r="K76" t="str">
        <f>IFERROR(VLOOKUP($C76,'Tantárgyi adatok'!B:F,5,FALSE),"nincs")</f>
        <v>Electrical Engineering</v>
      </c>
    </row>
    <row r="77" spans="1:11" x14ac:dyDescent="0.25">
      <c r="A77" t="s">
        <v>174</v>
      </c>
      <c r="B77" t="s">
        <v>175</v>
      </c>
      <c r="C77" t="s">
        <v>11</v>
      </c>
      <c r="D77" t="str">
        <f>IFERROR(VLOOKUP($C77,'Tantárgyi adatok'!B:F,2,FALSE),"nincs")</f>
        <v>Diplomatervezés</v>
      </c>
      <c r="E77" t="s">
        <v>707</v>
      </c>
      <c r="F77" t="s">
        <v>708</v>
      </c>
      <c r="G77" t="s">
        <v>81</v>
      </c>
      <c r="H77" t="str">
        <f>IFERROR(VLOOKUP($C77,'Tantárgyi adatok'!B:F,3,FALSE),"nincs")</f>
        <v>Mérnökinformatikus</v>
      </c>
      <c r="I77" t="s">
        <v>176</v>
      </c>
      <c r="J77" t="str">
        <f>IFERROR(VLOOKUP($C77,'Tantárgyi adatok'!B:F,4,FALSE),"nincs")</f>
        <v>MSc</v>
      </c>
      <c r="K77" t="str">
        <f>IFERROR(VLOOKUP($C77,'Tantárgyi adatok'!B:F,5,FALSE),"nincs")</f>
        <v>Computer Engineering</v>
      </c>
    </row>
    <row r="78" spans="1:11" x14ac:dyDescent="0.25">
      <c r="A78" t="s">
        <v>283</v>
      </c>
      <c r="B78" t="s">
        <v>284</v>
      </c>
      <c r="C78" t="s">
        <v>15</v>
      </c>
      <c r="D78" t="str">
        <f>IFERROR(VLOOKUP($C78,'Tantárgyi adatok'!B:F,2,FALSE),"nincs")</f>
        <v>Diplomatervezés</v>
      </c>
      <c r="E78" t="s">
        <v>800</v>
      </c>
      <c r="F78" t="s">
        <v>801</v>
      </c>
      <c r="G78" t="s">
        <v>81</v>
      </c>
      <c r="H78" t="str">
        <f>IFERROR(VLOOKUP($C78,'Tantárgyi adatok'!B:F,3,FALSE),"nincs")</f>
        <v>Villamosmérnök</v>
      </c>
      <c r="I78" t="s">
        <v>151</v>
      </c>
      <c r="J78" t="str">
        <f>IFERROR(VLOOKUP($C78,'Tantárgyi adatok'!B:F,4,FALSE),"nincs")</f>
        <v>MSc</v>
      </c>
      <c r="K78" t="str">
        <f>IFERROR(VLOOKUP($C78,'Tantárgyi adatok'!B:F,5,FALSE),"nincs")</f>
        <v>Electrical Engineering</v>
      </c>
    </row>
    <row r="79" spans="1:11" x14ac:dyDescent="0.25">
      <c r="A79" t="s">
        <v>393</v>
      </c>
      <c r="B79" t="s">
        <v>394</v>
      </c>
      <c r="C79" t="s">
        <v>41</v>
      </c>
      <c r="D79" t="str">
        <f>IFERROR(VLOOKUP($C79,'Tantárgyi adatok'!B:F,2,FALSE),"nincs")</f>
        <v>Szakdolgozat</v>
      </c>
      <c r="E79" t="s">
        <v>894</v>
      </c>
      <c r="F79" t="s">
        <v>895</v>
      </c>
      <c r="G79" t="s">
        <v>81</v>
      </c>
      <c r="H79" t="str">
        <f>IFERROR(VLOOKUP($C79,'Tantárgyi adatok'!B:F,3,FALSE),"nincs")</f>
        <v>Villamosmérnök</v>
      </c>
      <c r="I79" t="s">
        <v>144</v>
      </c>
      <c r="J79" t="str">
        <f>IFERROR(VLOOKUP($C79,'Tantárgyi adatok'!B:F,4,FALSE),"nincs")</f>
        <v>BSc</v>
      </c>
      <c r="K79" t="str">
        <f>IFERROR(VLOOKUP($C79,'Tantárgyi adatok'!B:F,5,FALSE),"nincs")</f>
        <v>Electrical Engineering</v>
      </c>
    </row>
    <row r="80" spans="1:11" x14ac:dyDescent="0.25">
      <c r="A80" t="s">
        <v>177</v>
      </c>
      <c r="B80" t="s">
        <v>178</v>
      </c>
      <c r="C80" t="s">
        <v>11</v>
      </c>
      <c r="D80" t="str">
        <f>IFERROR(VLOOKUP($C80,'Tantárgyi adatok'!B:F,2,FALSE),"nincs")</f>
        <v>Diplomatervezés</v>
      </c>
      <c r="E80" t="s">
        <v>709</v>
      </c>
      <c r="F80" t="s">
        <v>710</v>
      </c>
      <c r="G80" t="s">
        <v>81</v>
      </c>
      <c r="H80" t="str">
        <f>IFERROR(VLOOKUP($C80,'Tantárgyi adatok'!B:F,3,FALSE),"nincs")</f>
        <v>Mérnökinformatikus</v>
      </c>
      <c r="I80" t="s">
        <v>133</v>
      </c>
      <c r="J80" t="str">
        <f>IFERROR(VLOOKUP($C80,'Tantárgyi adatok'!B:F,4,FALSE),"nincs")</f>
        <v>MSc</v>
      </c>
      <c r="K80" t="str">
        <f>IFERROR(VLOOKUP($C80,'Tantárgyi adatok'!B:F,5,FALSE),"nincs")</f>
        <v>Computer Engineering</v>
      </c>
    </row>
    <row r="81" spans="1:11" x14ac:dyDescent="0.25">
      <c r="A81" t="s">
        <v>467</v>
      </c>
      <c r="B81" t="s">
        <v>468</v>
      </c>
      <c r="C81" t="s">
        <v>45</v>
      </c>
      <c r="D81" t="str">
        <f>IFERROR(VLOOKUP($C81,'Tantárgyi adatok'!B:F,2,FALSE),"nincs")</f>
        <v>Szakdolgozat</v>
      </c>
      <c r="E81" t="s">
        <v>966</v>
      </c>
      <c r="F81" t="s">
        <v>967</v>
      </c>
      <c r="G81" t="s">
        <v>81</v>
      </c>
      <c r="H81" t="str">
        <f>IFERROR(VLOOKUP($C81,'Tantárgyi adatok'!B:F,3,FALSE),"nincs")</f>
        <v>Mérnökinformatikus</v>
      </c>
      <c r="I81" t="s">
        <v>140</v>
      </c>
      <c r="J81" t="str">
        <f>IFERROR(VLOOKUP($C81,'Tantárgyi adatok'!B:F,4,FALSE),"nincs")</f>
        <v>BSc</v>
      </c>
      <c r="K81" t="str">
        <f>IFERROR(VLOOKUP($C81,'Tantárgyi adatok'!B:F,5,FALSE),"nincs")</f>
        <v>Computer Engineering</v>
      </c>
    </row>
    <row r="82" spans="1:11" x14ac:dyDescent="0.25">
      <c r="A82" t="s">
        <v>395</v>
      </c>
      <c r="B82" t="s">
        <v>396</v>
      </c>
      <c r="C82" t="s">
        <v>41</v>
      </c>
      <c r="D82" t="str">
        <f>IFERROR(VLOOKUP($C82,'Tantárgyi adatok'!B:F,2,FALSE),"nincs")</f>
        <v>Szakdolgozat</v>
      </c>
      <c r="E82" t="s">
        <v>896</v>
      </c>
      <c r="F82" t="s">
        <v>897</v>
      </c>
      <c r="G82" t="s">
        <v>81</v>
      </c>
      <c r="H82" t="str">
        <f>IFERROR(VLOOKUP($C82,'Tantárgyi adatok'!B:F,3,FALSE),"nincs")</f>
        <v>Villamosmérnök</v>
      </c>
      <c r="I82" t="s">
        <v>137</v>
      </c>
      <c r="J82" t="str">
        <f>IFERROR(VLOOKUP($C82,'Tantárgyi adatok'!B:F,4,FALSE),"nincs")</f>
        <v>BSc</v>
      </c>
      <c r="K82" t="str">
        <f>IFERROR(VLOOKUP($C82,'Tantárgyi adatok'!B:F,5,FALSE),"nincs")</f>
        <v>Electrical Engineering</v>
      </c>
    </row>
    <row r="83" spans="1:11" x14ac:dyDescent="0.25">
      <c r="A83" t="s">
        <v>179</v>
      </c>
      <c r="B83" t="s">
        <v>180</v>
      </c>
      <c r="C83" t="s">
        <v>11</v>
      </c>
      <c r="D83" t="str">
        <f>IFERROR(VLOOKUP($C83,'Tantárgyi adatok'!B:F,2,FALSE),"nincs")</f>
        <v>Diplomatervezés</v>
      </c>
      <c r="E83" t="s">
        <v>711</v>
      </c>
      <c r="F83" t="s">
        <v>712</v>
      </c>
      <c r="G83" t="s">
        <v>81</v>
      </c>
      <c r="H83" t="str">
        <f>IFERROR(VLOOKUP($C83,'Tantárgyi adatok'!B:F,3,FALSE),"nincs")</f>
        <v>Mérnökinformatikus</v>
      </c>
      <c r="I83" t="s">
        <v>181</v>
      </c>
      <c r="J83" t="str">
        <f>IFERROR(VLOOKUP($C83,'Tantárgyi adatok'!B:F,4,FALSE),"nincs")</f>
        <v>MSc</v>
      </c>
      <c r="K83" t="str">
        <f>IFERROR(VLOOKUP($C83,'Tantárgyi adatok'!B:F,5,FALSE),"nincs")</f>
        <v>Computer Engineering</v>
      </c>
    </row>
    <row r="84" spans="1:11" x14ac:dyDescent="0.25">
      <c r="A84" t="s">
        <v>397</v>
      </c>
      <c r="B84" t="s">
        <v>398</v>
      </c>
      <c r="C84" t="s">
        <v>41</v>
      </c>
      <c r="D84" t="str">
        <f>IFERROR(VLOOKUP($C84,'Tantárgyi adatok'!B:F,2,FALSE),"nincs")</f>
        <v>Szakdolgozat</v>
      </c>
      <c r="E84" t="s">
        <v>898</v>
      </c>
      <c r="F84" t="s">
        <v>899</v>
      </c>
      <c r="G84" t="s">
        <v>81</v>
      </c>
      <c r="H84" t="str">
        <f>IFERROR(VLOOKUP($C84,'Tantárgyi adatok'!B:F,3,FALSE),"nincs")</f>
        <v>Villamosmérnök</v>
      </c>
      <c r="I84" t="s">
        <v>151</v>
      </c>
      <c r="J84" t="str">
        <f>IFERROR(VLOOKUP($C84,'Tantárgyi adatok'!B:F,4,FALSE),"nincs")</f>
        <v>BSc</v>
      </c>
      <c r="K84" t="str">
        <f>IFERROR(VLOOKUP($C84,'Tantárgyi adatok'!B:F,5,FALSE),"nincs")</f>
        <v>Electrical Engineering</v>
      </c>
    </row>
    <row r="85" spans="1:11" x14ac:dyDescent="0.25">
      <c r="A85" t="s">
        <v>469</v>
      </c>
      <c r="B85" t="s">
        <v>470</v>
      </c>
      <c r="C85" t="s">
        <v>45</v>
      </c>
      <c r="D85" t="str">
        <f>IFERROR(VLOOKUP($C85,'Tantárgyi adatok'!B:F,2,FALSE),"nincs")</f>
        <v>Szakdolgozat</v>
      </c>
      <c r="E85" t="s">
        <v>968</v>
      </c>
      <c r="F85" t="s">
        <v>969</v>
      </c>
      <c r="G85" t="s">
        <v>81</v>
      </c>
      <c r="H85" t="str">
        <f>IFERROR(VLOOKUP($C85,'Tantárgyi adatok'!B:F,3,FALSE),"nincs")</f>
        <v>Mérnökinformatikus</v>
      </c>
      <c r="I85" t="s">
        <v>136</v>
      </c>
      <c r="J85" t="str">
        <f>IFERROR(VLOOKUP($C85,'Tantárgyi adatok'!B:F,4,FALSE),"nincs")</f>
        <v>BSc</v>
      </c>
      <c r="K85" t="str">
        <f>IFERROR(VLOOKUP($C85,'Tantárgyi adatok'!B:F,5,FALSE),"nincs")</f>
        <v>Computer Engineering</v>
      </c>
    </row>
    <row r="86" spans="1:11" x14ac:dyDescent="0.25">
      <c r="A86" t="s">
        <v>471</v>
      </c>
      <c r="B86" t="s">
        <v>472</v>
      </c>
      <c r="C86" t="s">
        <v>45</v>
      </c>
      <c r="D86" t="str">
        <f>IFERROR(VLOOKUP($C86,'Tantárgyi adatok'!B:F,2,FALSE),"nincs")</f>
        <v>Szakdolgozat</v>
      </c>
      <c r="E86" t="s">
        <v>970</v>
      </c>
      <c r="F86" t="s">
        <v>971</v>
      </c>
      <c r="G86" t="s">
        <v>81</v>
      </c>
      <c r="H86" t="str">
        <f>IFERROR(VLOOKUP($C86,'Tantárgyi adatok'!B:F,3,FALSE),"nincs")</f>
        <v>Mérnökinformatikus</v>
      </c>
      <c r="I86" t="s">
        <v>136</v>
      </c>
      <c r="J86" t="str">
        <f>IFERROR(VLOOKUP($C86,'Tantárgyi adatok'!B:F,4,FALSE),"nincs")</f>
        <v>BSc</v>
      </c>
      <c r="K86" t="str">
        <f>IFERROR(VLOOKUP($C86,'Tantárgyi adatok'!B:F,5,FALSE),"nincs")</f>
        <v>Computer Engineering</v>
      </c>
    </row>
    <row r="87" spans="1:11" x14ac:dyDescent="0.25">
      <c r="A87" t="s">
        <v>324</v>
      </c>
      <c r="B87" t="s">
        <v>325</v>
      </c>
      <c r="C87" t="s">
        <v>19</v>
      </c>
      <c r="D87" t="str">
        <f>IFERROR(VLOOKUP($C87,'Tantárgyi adatok'!B:F,2,FALSE),"nincs")</f>
        <v>Diplomatervezés</v>
      </c>
      <c r="E87" t="s">
        <v>834</v>
      </c>
      <c r="F87" t="s">
        <v>835</v>
      </c>
      <c r="G87" t="s">
        <v>81</v>
      </c>
      <c r="H87" t="str">
        <f>IFERROR(VLOOKUP($C87,'Tantárgyi adatok'!B:F,3,FALSE),"nincs")</f>
        <v>Mechatronikai mérnök</v>
      </c>
      <c r="I87" t="s">
        <v>132</v>
      </c>
      <c r="J87" t="str">
        <f>IFERROR(VLOOKUP($C87,'Tantárgyi adatok'!B:F,4,FALSE),"nincs")</f>
        <v>MSc</v>
      </c>
      <c r="K87" t="str">
        <f>IFERROR(VLOOKUP($C87,'Tantárgyi adatok'!B:F,5,FALSE),"nincs")</f>
        <v>Mechatronic Engineering</v>
      </c>
    </row>
    <row r="88" spans="1:11" x14ac:dyDescent="0.25">
      <c r="A88" t="s">
        <v>182</v>
      </c>
      <c r="B88" t="s">
        <v>183</v>
      </c>
      <c r="C88" t="s">
        <v>11</v>
      </c>
      <c r="D88" t="str">
        <f>IFERROR(VLOOKUP($C88,'Tantárgyi adatok'!B:F,2,FALSE),"nincs")</f>
        <v>Diplomatervezés</v>
      </c>
      <c r="E88" t="s">
        <v>713</v>
      </c>
      <c r="F88" t="s">
        <v>714</v>
      </c>
      <c r="G88" t="s">
        <v>81</v>
      </c>
      <c r="H88" t="str">
        <f>IFERROR(VLOOKUP($C88,'Tantárgyi adatok'!B:F,3,FALSE),"nincs")</f>
        <v>Mérnökinformatikus</v>
      </c>
      <c r="I88" t="s">
        <v>184</v>
      </c>
      <c r="J88" t="str">
        <f>IFERROR(VLOOKUP($C88,'Tantárgyi adatok'!B:F,4,FALSE),"nincs")</f>
        <v>MSc</v>
      </c>
      <c r="K88" t="str">
        <f>IFERROR(VLOOKUP($C88,'Tantárgyi adatok'!B:F,5,FALSE),"nincs")</f>
        <v>Computer Engineering</v>
      </c>
    </row>
    <row r="89" spans="1:11" x14ac:dyDescent="0.25">
      <c r="A89" t="s">
        <v>356</v>
      </c>
      <c r="B89" t="s">
        <v>357</v>
      </c>
      <c r="C89" t="s">
        <v>39</v>
      </c>
      <c r="D89" t="str">
        <f>IFERROR(VLOOKUP($C89,'Tantárgyi adatok'!B:F,2,FALSE),"nincs")</f>
        <v>Szakdolgozat</v>
      </c>
      <c r="E89" t="s">
        <v>860</v>
      </c>
      <c r="F89" t="s">
        <v>861</v>
      </c>
      <c r="G89" t="s">
        <v>81</v>
      </c>
      <c r="H89" t="str">
        <f>IFERROR(VLOOKUP($C89,'Tantárgyi adatok'!B:F,3,FALSE),"nincs")</f>
        <v>Mechatronikai mérnök</v>
      </c>
      <c r="I89" t="s">
        <v>173</v>
      </c>
      <c r="J89" t="str">
        <f>IFERROR(VLOOKUP($C89,'Tantárgyi adatok'!B:F,4,FALSE),"nincs")</f>
        <v>BSc</v>
      </c>
      <c r="K89" t="str">
        <f>IFERROR(VLOOKUP($C89,'Tantárgyi adatok'!B:F,5,FALSE),"nincs")</f>
        <v>Electrical Engineering</v>
      </c>
    </row>
    <row r="90" spans="1:11" x14ac:dyDescent="0.25">
      <c r="A90" t="s">
        <v>185</v>
      </c>
      <c r="B90" t="s">
        <v>186</v>
      </c>
      <c r="C90" t="s">
        <v>11</v>
      </c>
      <c r="D90" t="str">
        <f>IFERROR(VLOOKUP($C90,'Tantárgyi adatok'!B:F,2,FALSE),"nincs")</f>
        <v>Diplomatervezés</v>
      </c>
      <c r="E90" t="s">
        <v>715</v>
      </c>
      <c r="F90" t="s">
        <v>716</v>
      </c>
      <c r="G90" t="s">
        <v>81</v>
      </c>
      <c r="H90" t="str">
        <f>IFERROR(VLOOKUP($C90,'Tantárgyi adatok'!B:F,3,FALSE),"nincs")</f>
        <v>Mérnökinformatikus</v>
      </c>
      <c r="I90" t="s">
        <v>176</v>
      </c>
      <c r="J90" t="str">
        <f>IFERROR(VLOOKUP($C90,'Tantárgyi adatok'!B:F,4,FALSE),"nincs")</f>
        <v>MSc</v>
      </c>
      <c r="K90" t="str">
        <f>IFERROR(VLOOKUP($C90,'Tantárgyi adatok'!B:F,5,FALSE),"nincs")</f>
        <v>Computer Engineering</v>
      </c>
    </row>
    <row r="91" spans="1:11" x14ac:dyDescent="0.25">
      <c r="A91" t="s">
        <v>570</v>
      </c>
      <c r="B91" t="s">
        <v>571</v>
      </c>
      <c r="C91" t="s">
        <v>47</v>
      </c>
      <c r="D91" t="str">
        <f>IFERROR(VLOOKUP($C91,'Tantárgyi adatok'!B:F,2,FALSE),"nincs")</f>
        <v>Szakdolgozat</v>
      </c>
      <c r="E91" t="s">
        <v>1067</v>
      </c>
      <c r="F91" t="s">
        <v>1068</v>
      </c>
      <c r="G91" t="s">
        <v>81</v>
      </c>
      <c r="H91" t="str">
        <f>IFERROR(VLOOKUP($C91,'Tantárgyi adatok'!B:F,3,FALSE),"nincs")</f>
        <v>Mérnökinformatikus</v>
      </c>
      <c r="I91" t="s">
        <v>112</v>
      </c>
      <c r="J91" t="str">
        <f>IFERROR(VLOOKUP($C91,'Tantárgyi adatok'!B:F,4,FALSE),"nincs")</f>
        <v>BSc</v>
      </c>
      <c r="K91" t="str">
        <f>IFERROR(VLOOKUP($C91,'Tantárgyi adatok'!B:F,5,FALSE),"nincs")</f>
        <v>Computer Engineering</v>
      </c>
    </row>
    <row r="92" spans="1:11" x14ac:dyDescent="0.25">
      <c r="A92" t="s">
        <v>572</v>
      </c>
      <c r="B92" t="s">
        <v>573</v>
      </c>
      <c r="C92" t="s">
        <v>47</v>
      </c>
      <c r="D92" t="str">
        <f>IFERROR(VLOOKUP($C92,'Tantárgyi adatok'!B:F,2,FALSE),"nincs")</f>
        <v>Szakdolgozat</v>
      </c>
      <c r="E92" t="s">
        <v>1069</v>
      </c>
      <c r="F92" t="s">
        <v>1070</v>
      </c>
      <c r="G92" t="s">
        <v>81</v>
      </c>
      <c r="H92" t="str">
        <f>IFERROR(VLOOKUP($C92,'Tantárgyi adatok'!B:F,3,FALSE),"nincs")</f>
        <v>Mérnökinformatikus</v>
      </c>
      <c r="I92" t="s">
        <v>181</v>
      </c>
      <c r="J92" t="str">
        <f>IFERROR(VLOOKUP($C92,'Tantárgyi adatok'!B:F,4,FALSE),"nincs")</f>
        <v>BSc</v>
      </c>
      <c r="K92" t="str">
        <f>IFERROR(VLOOKUP($C92,'Tantárgyi adatok'!B:F,5,FALSE),"nincs")</f>
        <v>Computer Engineering</v>
      </c>
    </row>
    <row r="93" spans="1:11" x14ac:dyDescent="0.25">
      <c r="A93" t="s">
        <v>187</v>
      </c>
      <c r="B93" t="s">
        <v>188</v>
      </c>
      <c r="C93" t="s">
        <v>11</v>
      </c>
      <c r="D93" t="str">
        <f>IFERROR(VLOOKUP($C93,'Tantárgyi adatok'!B:F,2,FALSE),"nincs")</f>
        <v>Diplomatervezés</v>
      </c>
      <c r="E93" t="s">
        <v>717</v>
      </c>
      <c r="F93" t="s">
        <v>718</v>
      </c>
      <c r="G93" t="s">
        <v>81</v>
      </c>
      <c r="H93" t="str">
        <f>IFERROR(VLOOKUP($C93,'Tantárgyi adatok'!B:F,3,FALSE),"nincs")</f>
        <v>Mérnökinformatikus</v>
      </c>
      <c r="I93" t="s">
        <v>176</v>
      </c>
      <c r="J93" t="str">
        <f>IFERROR(VLOOKUP($C93,'Tantárgyi adatok'!B:F,4,FALSE),"nincs")</f>
        <v>MSc</v>
      </c>
      <c r="K93" t="str">
        <f>IFERROR(VLOOKUP($C93,'Tantárgyi adatok'!B:F,5,FALSE),"nincs")</f>
        <v>Computer Engineering</v>
      </c>
    </row>
    <row r="94" spans="1:11" x14ac:dyDescent="0.25">
      <c r="A94" t="s">
        <v>473</v>
      </c>
      <c r="B94" t="s">
        <v>474</v>
      </c>
      <c r="C94" t="s">
        <v>45</v>
      </c>
      <c r="D94" t="str">
        <f>IFERROR(VLOOKUP($C94,'Tantárgyi adatok'!B:F,2,FALSE),"nincs")</f>
        <v>Szakdolgozat</v>
      </c>
      <c r="E94" t="s">
        <v>972</v>
      </c>
      <c r="F94" t="s">
        <v>973</v>
      </c>
      <c r="G94" t="s">
        <v>81</v>
      </c>
      <c r="H94" t="str">
        <f>IFERROR(VLOOKUP($C94,'Tantárgyi adatok'!B:F,3,FALSE),"nincs")</f>
        <v>Mérnökinformatikus</v>
      </c>
      <c r="I94" t="s">
        <v>181</v>
      </c>
      <c r="J94" t="str">
        <f>IFERROR(VLOOKUP($C94,'Tantárgyi adatok'!B:F,4,FALSE),"nincs")</f>
        <v>BSc</v>
      </c>
      <c r="K94" t="str">
        <f>IFERROR(VLOOKUP($C94,'Tantárgyi adatok'!B:F,5,FALSE),"nincs")</f>
        <v>Computer Engineering</v>
      </c>
    </row>
    <row r="95" spans="1:11" x14ac:dyDescent="0.25">
      <c r="A95" t="s">
        <v>189</v>
      </c>
      <c r="B95" t="s">
        <v>190</v>
      </c>
      <c r="C95" t="s">
        <v>11</v>
      </c>
      <c r="D95" t="str">
        <f>IFERROR(VLOOKUP($C95,'Tantárgyi adatok'!B:F,2,FALSE),"nincs")</f>
        <v>Diplomatervezés</v>
      </c>
      <c r="E95" t="s">
        <v>719</v>
      </c>
      <c r="F95" t="s">
        <v>720</v>
      </c>
      <c r="G95" t="s">
        <v>81</v>
      </c>
      <c r="H95" t="str">
        <f>IFERROR(VLOOKUP($C95,'Tantárgyi adatok'!B:F,3,FALSE),"nincs")</f>
        <v>Mérnökinformatikus</v>
      </c>
      <c r="I95" t="s">
        <v>191</v>
      </c>
      <c r="J95" t="str">
        <f>IFERROR(VLOOKUP($C95,'Tantárgyi adatok'!B:F,4,FALSE),"nincs")</f>
        <v>MSc</v>
      </c>
      <c r="K95" t="str">
        <f>IFERROR(VLOOKUP($C95,'Tantárgyi adatok'!B:F,5,FALSE),"nincs")</f>
        <v>Computer Engineering</v>
      </c>
    </row>
    <row r="96" spans="1:11" x14ac:dyDescent="0.25">
      <c r="A96" t="s">
        <v>192</v>
      </c>
      <c r="B96" t="s">
        <v>193</v>
      </c>
      <c r="C96" t="s">
        <v>11</v>
      </c>
      <c r="D96" t="str">
        <f>IFERROR(VLOOKUP($C96,'Tantárgyi adatok'!B:F,2,FALSE),"nincs")</f>
        <v>Diplomatervezés</v>
      </c>
      <c r="E96" t="s">
        <v>721</v>
      </c>
      <c r="F96" t="s">
        <v>722</v>
      </c>
      <c r="G96" t="s">
        <v>81</v>
      </c>
      <c r="H96" t="str">
        <f>IFERROR(VLOOKUP($C96,'Tantárgyi adatok'!B:F,3,FALSE),"nincs")</f>
        <v>Mérnökinformatikus</v>
      </c>
      <c r="I96" t="s">
        <v>176</v>
      </c>
      <c r="J96" t="str">
        <f>IFERROR(VLOOKUP($C96,'Tantárgyi adatok'!B:F,4,FALSE),"nincs")</f>
        <v>MSc</v>
      </c>
      <c r="K96" t="str">
        <f>IFERROR(VLOOKUP($C96,'Tantárgyi adatok'!B:F,5,FALSE),"nincs")</f>
        <v>Computer Engineering</v>
      </c>
    </row>
    <row r="97" spans="1:11" x14ac:dyDescent="0.25">
      <c r="A97" t="s">
        <v>1198</v>
      </c>
      <c r="B97" t="s">
        <v>1199</v>
      </c>
      <c r="C97" t="s">
        <v>43</v>
      </c>
      <c r="D97" t="str">
        <f>IFERROR(VLOOKUP($C97,'Tantárgyi adatok'!B:F,2,FALSE),"nincs")</f>
        <v>Szakdolgozat</v>
      </c>
      <c r="E97" t="s">
        <v>1346</v>
      </c>
      <c r="F97" t="s">
        <v>1347</v>
      </c>
      <c r="G97" t="s">
        <v>81</v>
      </c>
      <c r="H97" t="str">
        <f>IFERROR(VLOOKUP($C97,'Tantárgyi adatok'!B:F,3,FALSE),"nincs")</f>
        <v>Villamosmérnök</v>
      </c>
      <c r="I97" t="s">
        <v>307</v>
      </c>
      <c r="J97" t="str">
        <f>IFERROR(VLOOKUP($C97,'Tantárgyi adatok'!B:F,4,FALSE),"nincs")</f>
        <v>BSc</v>
      </c>
      <c r="K97" t="str">
        <f>IFERROR(VLOOKUP($C97,'Tantárgyi adatok'!B:F,5,FALSE),"nincs")</f>
        <v>Electrical Engineering</v>
      </c>
    </row>
    <row r="98" spans="1:11" x14ac:dyDescent="0.25">
      <c r="A98" t="s">
        <v>285</v>
      </c>
      <c r="B98" t="s">
        <v>286</v>
      </c>
      <c r="C98" t="s">
        <v>15</v>
      </c>
      <c r="D98" t="str">
        <f>IFERROR(VLOOKUP($C98,'Tantárgyi adatok'!B:F,2,FALSE),"nincs")</f>
        <v>Diplomatervezés</v>
      </c>
      <c r="E98" t="s">
        <v>802</v>
      </c>
      <c r="F98" t="s">
        <v>803</v>
      </c>
      <c r="G98" t="s">
        <v>81</v>
      </c>
      <c r="H98" t="str">
        <f>IFERROR(VLOOKUP($C98,'Tantárgyi adatok'!B:F,3,FALSE),"nincs")</f>
        <v>Villamosmérnök</v>
      </c>
      <c r="I98" t="s">
        <v>151</v>
      </c>
      <c r="J98" t="str">
        <f>IFERROR(VLOOKUP($C98,'Tantárgyi adatok'!B:F,4,FALSE),"nincs")</f>
        <v>MSc</v>
      </c>
      <c r="K98" t="str">
        <f>IFERROR(VLOOKUP($C98,'Tantárgyi adatok'!B:F,5,FALSE),"nincs")</f>
        <v>Electrical Engineering</v>
      </c>
    </row>
    <row r="99" spans="1:11" x14ac:dyDescent="0.25">
      <c r="A99" t="s">
        <v>326</v>
      </c>
      <c r="B99" t="s">
        <v>327</v>
      </c>
      <c r="C99" t="s">
        <v>19</v>
      </c>
      <c r="D99" t="str">
        <f>IFERROR(VLOOKUP($C99,'Tantárgyi adatok'!B:F,2,FALSE),"nincs")</f>
        <v>Diplomatervezés</v>
      </c>
      <c r="E99" t="s">
        <v>836</v>
      </c>
      <c r="F99" t="s">
        <v>837</v>
      </c>
      <c r="G99" t="s">
        <v>81</v>
      </c>
      <c r="H99" t="str">
        <f>IFERROR(VLOOKUP($C99,'Tantárgyi adatok'!B:F,3,FALSE),"nincs")</f>
        <v>Mechatronikai mérnök</v>
      </c>
      <c r="I99" t="s">
        <v>142</v>
      </c>
      <c r="J99" t="str">
        <f>IFERROR(VLOOKUP($C99,'Tantárgyi adatok'!B:F,4,FALSE),"nincs")</f>
        <v>MSc</v>
      </c>
      <c r="K99" t="str">
        <f>IFERROR(VLOOKUP($C99,'Tantárgyi adatok'!B:F,5,FALSE),"nincs")</f>
        <v>Mechatronic Engineering</v>
      </c>
    </row>
    <row r="100" spans="1:11" x14ac:dyDescent="0.25">
      <c r="A100" t="s">
        <v>574</v>
      </c>
      <c r="B100" t="s">
        <v>575</v>
      </c>
      <c r="C100" t="s">
        <v>47</v>
      </c>
      <c r="D100" t="str">
        <f>IFERROR(VLOOKUP($C100,'Tantárgyi adatok'!B:F,2,FALSE),"nincs")</f>
        <v>Szakdolgozat</v>
      </c>
      <c r="E100" t="s">
        <v>1071</v>
      </c>
      <c r="F100" t="s">
        <v>1072</v>
      </c>
      <c r="G100" t="s">
        <v>81</v>
      </c>
      <c r="H100" t="str">
        <f>IFERROR(VLOOKUP($C100,'Tantárgyi adatok'!B:F,3,FALSE),"nincs")</f>
        <v>Mérnökinformatikus</v>
      </c>
      <c r="I100" t="s">
        <v>142</v>
      </c>
      <c r="J100" t="str">
        <f>IFERROR(VLOOKUP($C100,'Tantárgyi adatok'!B:F,4,FALSE),"nincs")</f>
        <v>BSc</v>
      </c>
      <c r="K100" t="str">
        <f>IFERROR(VLOOKUP($C100,'Tantárgyi adatok'!B:F,5,FALSE),"nincs")</f>
        <v>Computer Engineering</v>
      </c>
    </row>
    <row r="101" spans="1:11" x14ac:dyDescent="0.25">
      <c r="A101" t="s">
        <v>194</v>
      </c>
      <c r="B101" t="s">
        <v>195</v>
      </c>
      <c r="C101" t="s">
        <v>11</v>
      </c>
      <c r="D101" t="str">
        <f>IFERROR(VLOOKUP($C101,'Tantárgyi adatok'!B:F,2,FALSE),"nincs")</f>
        <v>Diplomatervezés</v>
      </c>
      <c r="E101" t="s">
        <v>723</v>
      </c>
      <c r="F101" t="s">
        <v>724</v>
      </c>
      <c r="G101" t="s">
        <v>81</v>
      </c>
      <c r="H101" t="str">
        <f>IFERROR(VLOOKUP($C101,'Tantárgyi adatok'!B:F,3,FALSE),"nincs")</f>
        <v>Mérnökinformatikus</v>
      </c>
      <c r="I101" t="s">
        <v>133</v>
      </c>
      <c r="J101" t="str">
        <f>IFERROR(VLOOKUP($C101,'Tantárgyi adatok'!B:F,4,FALSE),"nincs")</f>
        <v>MSc</v>
      </c>
      <c r="K101" t="str">
        <f>IFERROR(VLOOKUP($C101,'Tantárgyi adatok'!B:F,5,FALSE),"nincs")</f>
        <v>Computer Engineering</v>
      </c>
    </row>
    <row r="102" spans="1:11" x14ac:dyDescent="0.25">
      <c r="A102" t="s">
        <v>576</v>
      </c>
      <c r="B102" t="s">
        <v>577</v>
      </c>
      <c r="C102" t="s">
        <v>47</v>
      </c>
      <c r="D102" t="str">
        <f>IFERROR(VLOOKUP($C102,'Tantárgyi adatok'!B:F,2,FALSE),"nincs")</f>
        <v>Szakdolgozat</v>
      </c>
      <c r="E102" t="s">
        <v>1073</v>
      </c>
      <c r="F102" t="s">
        <v>1074</v>
      </c>
      <c r="G102" t="s">
        <v>81</v>
      </c>
      <c r="H102" t="str">
        <f>IFERROR(VLOOKUP($C102,'Tantárgyi adatok'!B:F,3,FALSE),"nincs")</f>
        <v>Mérnökinformatikus</v>
      </c>
      <c r="I102" t="s">
        <v>146</v>
      </c>
      <c r="J102" t="str">
        <f>IFERROR(VLOOKUP($C102,'Tantárgyi adatok'!B:F,4,FALSE),"nincs")</f>
        <v>BSc</v>
      </c>
      <c r="K102" t="str">
        <f>IFERROR(VLOOKUP($C102,'Tantárgyi adatok'!B:F,5,FALSE),"nincs")</f>
        <v>Computer Engineering</v>
      </c>
    </row>
    <row r="103" spans="1:11" x14ac:dyDescent="0.25">
      <c r="A103" t="s">
        <v>328</v>
      </c>
      <c r="B103" t="s">
        <v>329</v>
      </c>
      <c r="C103" t="s">
        <v>19</v>
      </c>
      <c r="D103" t="str">
        <f>IFERROR(VLOOKUP($C103,'Tantárgyi adatok'!B:F,2,FALSE),"nincs")</f>
        <v>Diplomatervezés</v>
      </c>
      <c r="E103" t="s">
        <v>838</v>
      </c>
      <c r="F103" t="s">
        <v>839</v>
      </c>
      <c r="G103" t="s">
        <v>81</v>
      </c>
      <c r="H103" t="str">
        <f>IFERROR(VLOOKUP($C103,'Tantárgyi adatok'!B:F,3,FALSE),"nincs")</f>
        <v>Mechatronikai mérnök</v>
      </c>
      <c r="I103" t="s">
        <v>330</v>
      </c>
      <c r="J103" t="str">
        <f>IFERROR(VLOOKUP($C103,'Tantárgyi adatok'!B:F,4,FALSE),"nincs")</f>
        <v>MSc</v>
      </c>
      <c r="K103" t="str">
        <f>IFERROR(VLOOKUP($C103,'Tantárgyi adatok'!B:F,5,FALSE),"nincs")</f>
        <v>Mechatronic Engineering</v>
      </c>
    </row>
    <row r="104" spans="1:11" x14ac:dyDescent="0.25">
      <c r="A104" t="s">
        <v>287</v>
      </c>
      <c r="B104" t="s">
        <v>288</v>
      </c>
      <c r="C104" t="s">
        <v>15</v>
      </c>
      <c r="D104" t="str">
        <f>IFERROR(VLOOKUP($C104,'Tantárgyi adatok'!B:F,2,FALSE),"nincs")</f>
        <v>Diplomatervezés</v>
      </c>
      <c r="E104" t="s">
        <v>804</v>
      </c>
      <c r="F104" t="s">
        <v>805</v>
      </c>
      <c r="G104" t="s">
        <v>81</v>
      </c>
      <c r="H104" t="str">
        <f>IFERROR(VLOOKUP($C104,'Tantárgyi adatok'!B:F,3,FALSE),"nincs")</f>
        <v>Villamosmérnök</v>
      </c>
      <c r="I104" t="s">
        <v>151</v>
      </c>
      <c r="J104" t="str">
        <f>IFERROR(VLOOKUP($C104,'Tantárgyi adatok'!B:F,4,FALSE),"nincs")</f>
        <v>MSc</v>
      </c>
      <c r="K104" t="str">
        <f>IFERROR(VLOOKUP($C104,'Tantárgyi adatok'!B:F,5,FALSE),"nincs")</f>
        <v>Electrical Engineering</v>
      </c>
    </row>
    <row r="105" spans="1:11" x14ac:dyDescent="0.25">
      <c r="A105" t="s">
        <v>274</v>
      </c>
      <c r="B105" t="s">
        <v>275</v>
      </c>
      <c r="C105" t="s">
        <v>13</v>
      </c>
      <c r="D105" t="str">
        <f>IFERROR(VLOOKUP($C105,'Tantárgyi adatok'!B:F,2,FALSE),"nincs")</f>
        <v>Diplomatervezés</v>
      </c>
      <c r="E105" t="s">
        <v>794</v>
      </c>
      <c r="F105" t="s">
        <v>795</v>
      </c>
      <c r="G105" t="s">
        <v>81</v>
      </c>
      <c r="H105" t="str">
        <f>IFERROR(VLOOKUP($C105,'Tantárgyi adatok'!B:F,3,FALSE),"nincs")</f>
        <v>Villamosmérnök</v>
      </c>
      <c r="I105" t="s">
        <v>151</v>
      </c>
      <c r="J105" t="str">
        <f>IFERROR(VLOOKUP($C105,'Tantárgyi adatok'!B:F,4,FALSE),"nincs")</f>
        <v>MSc</v>
      </c>
      <c r="K105" t="str">
        <f>IFERROR(VLOOKUP($C105,'Tantárgyi adatok'!B:F,5,FALSE),"nincs")</f>
        <v>Electrical Engineering</v>
      </c>
    </row>
    <row r="106" spans="1:11" x14ac:dyDescent="0.25">
      <c r="A106" t="s">
        <v>196</v>
      </c>
      <c r="B106" t="s">
        <v>197</v>
      </c>
      <c r="C106" t="s">
        <v>11</v>
      </c>
      <c r="D106" t="str">
        <f>IFERROR(VLOOKUP($C106,'Tantárgyi adatok'!B:F,2,FALSE),"nincs")</f>
        <v>Diplomatervezés</v>
      </c>
      <c r="E106" t="s">
        <v>725</v>
      </c>
      <c r="F106" t="s">
        <v>726</v>
      </c>
      <c r="G106" t="s">
        <v>81</v>
      </c>
      <c r="H106" t="str">
        <f>IFERROR(VLOOKUP($C106,'Tantárgyi adatok'!B:F,3,FALSE),"nincs")</f>
        <v>Mérnökinformatikus</v>
      </c>
      <c r="I106" t="s">
        <v>138</v>
      </c>
      <c r="J106" t="str">
        <f>IFERROR(VLOOKUP($C106,'Tantárgyi adatok'!B:F,4,FALSE),"nincs")</f>
        <v>MSc</v>
      </c>
      <c r="K106" t="str">
        <f>IFERROR(VLOOKUP($C106,'Tantárgyi adatok'!B:F,5,FALSE),"nincs")</f>
        <v>Computer Engineering</v>
      </c>
    </row>
    <row r="107" spans="1:11" x14ac:dyDescent="0.25">
      <c r="A107" t="s">
        <v>399</v>
      </c>
      <c r="B107" t="s">
        <v>400</v>
      </c>
      <c r="C107" t="s">
        <v>41</v>
      </c>
      <c r="D107" t="str">
        <f>IFERROR(VLOOKUP($C107,'Tantárgyi adatok'!B:F,2,FALSE),"nincs")</f>
        <v>Szakdolgozat</v>
      </c>
      <c r="E107" t="s">
        <v>900</v>
      </c>
      <c r="F107" t="s">
        <v>901</v>
      </c>
      <c r="G107" t="s">
        <v>81</v>
      </c>
      <c r="H107" t="str">
        <f>IFERROR(VLOOKUP($C107,'Tantárgyi adatok'!B:F,3,FALSE),"nincs")</f>
        <v>Villamosmérnök</v>
      </c>
      <c r="I107" t="s">
        <v>318</v>
      </c>
      <c r="J107" t="str">
        <f>IFERROR(VLOOKUP($C107,'Tantárgyi adatok'!B:F,4,FALSE),"nincs")</f>
        <v>BSc</v>
      </c>
      <c r="K107" t="str">
        <f>IFERROR(VLOOKUP($C107,'Tantárgyi adatok'!B:F,5,FALSE),"nincs")</f>
        <v>Electrical Engineering</v>
      </c>
    </row>
    <row r="108" spans="1:11" x14ac:dyDescent="0.25">
      <c r="A108" t="s">
        <v>289</v>
      </c>
      <c r="B108" t="s">
        <v>290</v>
      </c>
      <c r="C108" t="s">
        <v>15</v>
      </c>
      <c r="D108" t="str">
        <f>IFERROR(VLOOKUP($C108,'Tantárgyi adatok'!B:F,2,FALSE),"nincs")</f>
        <v>Diplomatervezés</v>
      </c>
      <c r="E108" t="s">
        <v>806</v>
      </c>
      <c r="F108" t="s">
        <v>807</v>
      </c>
      <c r="G108" t="s">
        <v>81</v>
      </c>
      <c r="H108" t="str">
        <f>IFERROR(VLOOKUP($C108,'Tantárgyi adatok'!B:F,3,FALSE),"nincs")</f>
        <v>Villamosmérnök</v>
      </c>
      <c r="I108" t="s">
        <v>280</v>
      </c>
      <c r="J108" t="str">
        <f>IFERROR(VLOOKUP($C108,'Tantárgyi adatok'!B:F,4,FALSE),"nincs")</f>
        <v>MSc</v>
      </c>
      <c r="K108" t="str">
        <f>IFERROR(VLOOKUP($C108,'Tantárgyi adatok'!B:F,5,FALSE),"nincs")</f>
        <v>Electrical Engineering</v>
      </c>
    </row>
    <row r="109" spans="1:11" x14ac:dyDescent="0.25">
      <c r="A109" t="s">
        <v>578</v>
      </c>
      <c r="B109" t="s">
        <v>579</v>
      </c>
      <c r="C109" t="s">
        <v>47</v>
      </c>
      <c r="D109" t="str">
        <f>IFERROR(VLOOKUP($C109,'Tantárgyi adatok'!B:F,2,FALSE),"nincs")</f>
        <v>Szakdolgozat</v>
      </c>
      <c r="E109" t="s">
        <v>1075</v>
      </c>
      <c r="F109" t="s">
        <v>1076</v>
      </c>
      <c r="G109" t="s">
        <v>81</v>
      </c>
      <c r="H109" t="str">
        <f>IFERROR(VLOOKUP($C109,'Tantárgyi adatok'!B:F,3,FALSE),"nincs")</f>
        <v>Mérnökinformatikus</v>
      </c>
      <c r="I109" t="s">
        <v>136</v>
      </c>
      <c r="J109" t="str">
        <f>IFERROR(VLOOKUP($C109,'Tantárgyi adatok'!B:F,4,FALSE),"nincs")</f>
        <v>BSc</v>
      </c>
      <c r="K109" t="str">
        <f>IFERROR(VLOOKUP($C109,'Tantárgyi adatok'!B:F,5,FALSE),"nincs")</f>
        <v>Computer Engineering</v>
      </c>
    </row>
    <row r="110" spans="1:11" x14ac:dyDescent="0.25">
      <c r="A110" t="s">
        <v>580</v>
      </c>
      <c r="B110" t="s">
        <v>581</v>
      </c>
      <c r="C110" t="s">
        <v>47</v>
      </c>
      <c r="D110" t="str">
        <f>IFERROR(VLOOKUP($C110,'Tantárgyi adatok'!B:F,2,FALSE),"nincs")</f>
        <v>Szakdolgozat</v>
      </c>
      <c r="E110" t="s">
        <v>1077</v>
      </c>
      <c r="F110" t="s">
        <v>1078</v>
      </c>
      <c r="G110" t="s">
        <v>81</v>
      </c>
      <c r="H110" t="str">
        <f>IFERROR(VLOOKUP($C110,'Tantárgyi adatok'!B:F,3,FALSE),"nincs")</f>
        <v>Mérnökinformatikus</v>
      </c>
      <c r="I110" t="s">
        <v>582</v>
      </c>
      <c r="J110" t="str">
        <f>IFERROR(VLOOKUP($C110,'Tantárgyi adatok'!B:F,4,FALSE),"nincs")</f>
        <v>BSc</v>
      </c>
      <c r="K110" t="str">
        <f>IFERROR(VLOOKUP($C110,'Tantárgyi adatok'!B:F,5,FALSE),"nincs")</f>
        <v>Computer Engineering</v>
      </c>
    </row>
    <row r="111" spans="1:11" x14ac:dyDescent="0.25">
      <c r="A111" t="s">
        <v>198</v>
      </c>
      <c r="B111" t="s">
        <v>199</v>
      </c>
      <c r="C111" t="s">
        <v>11</v>
      </c>
      <c r="D111" t="str">
        <f>IFERROR(VLOOKUP($C111,'Tantárgyi adatok'!B:F,2,FALSE),"nincs")</f>
        <v>Diplomatervezés</v>
      </c>
      <c r="E111" t="s">
        <v>727</v>
      </c>
      <c r="F111" t="s">
        <v>728</v>
      </c>
      <c r="G111" t="s">
        <v>81</v>
      </c>
      <c r="H111" t="str">
        <f>IFERROR(VLOOKUP($C111,'Tantárgyi adatok'!B:F,3,FALSE),"nincs")</f>
        <v>Mérnökinformatikus</v>
      </c>
      <c r="I111" t="s">
        <v>136</v>
      </c>
      <c r="J111" t="str">
        <f>IFERROR(VLOOKUP($C111,'Tantárgyi adatok'!B:F,4,FALSE),"nincs")</f>
        <v>MSc</v>
      </c>
      <c r="K111" t="str">
        <f>IFERROR(VLOOKUP($C111,'Tantárgyi adatok'!B:F,5,FALSE),"nincs")</f>
        <v>Computer Engineering</v>
      </c>
    </row>
    <row r="112" spans="1:11" x14ac:dyDescent="0.25">
      <c r="A112" t="s">
        <v>200</v>
      </c>
      <c r="B112" t="s">
        <v>201</v>
      </c>
      <c r="C112" t="s">
        <v>11</v>
      </c>
      <c r="D112" t="str">
        <f>IFERROR(VLOOKUP($C112,'Tantárgyi adatok'!B:F,2,FALSE),"nincs")</f>
        <v>Diplomatervezés</v>
      </c>
      <c r="E112" t="s">
        <v>729</v>
      </c>
      <c r="F112" t="s">
        <v>730</v>
      </c>
      <c r="G112" t="s">
        <v>81</v>
      </c>
      <c r="H112" t="str">
        <f>IFERROR(VLOOKUP($C112,'Tantárgyi adatok'!B:F,3,FALSE),"nincs")</f>
        <v>Mérnökinformatikus</v>
      </c>
      <c r="I112" t="s">
        <v>202</v>
      </c>
      <c r="J112" t="str">
        <f>IFERROR(VLOOKUP($C112,'Tantárgyi adatok'!B:F,4,FALSE),"nincs")</f>
        <v>MSc</v>
      </c>
      <c r="K112" t="str">
        <f>IFERROR(VLOOKUP($C112,'Tantárgyi adatok'!B:F,5,FALSE),"nincs")</f>
        <v>Computer Engineering</v>
      </c>
    </row>
    <row r="113" spans="1:11" x14ac:dyDescent="0.25">
      <c r="A113" t="s">
        <v>358</v>
      </c>
      <c r="B113" t="s">
        <v>359</v>
      </c>
      <c r="C113" t="s">
        <v>39</v>
      </c>
      <c r="D113" t="str">
        <f>IFERROR(VLOOKUP($C113,'Tantárgyi adatok'!B:F,2,FALSE),"nincs")</f>
        <v>Szakdolgozat</v>
      </c>
      <c r="E113" t="s">
        <v>862</v>
      </c>
      <c r="F113" t="s">
        <v>863</v>
      </c>
      <c r="G113" t="s">
        <v>81</v>
      </c>
      <c r="H113" t="str">
        <f>IFERROR(VLOOKUP($C113,'Tantárgyi adatok'!B:F,3,FALSE),"nincs")</f>
        <v>Mechatronikai mérnök</v>
      </c>
      <c r="I113" t="s">
        <v>148</v>
      </c>
      <c r="J113" t="str">
        <f>IFERROR(VLOOKUP($C113,'Tantárgyi adatok'!B:F,4,FALSE),"nincs")</f>
        <v>BSc</v>
      </c>
      <c r="K113" t="str">
        <f>IFERROR(VLOOKUP($C113,'Tantárgyi adatok'!B:F,5,FALSE),"nincs")</f>
        <v>Electrical Engineering</v>
      </c>
    </row>
    <row r="114" spans="1:11" x14ac:dyDescent="0.25">
      <c r="A114" t="s">
        <v>331</v>
      </c>
      <c r="B114" t="s">
        <v>332</v>
      </c>
      <c r="C114" t="s">
        <v>19</v>
      </c>
      <c r="D114" t="str">
        <f>IFERROR(VLOOKUP($C114,'Tantárgyi adatok'!B:F,2,FALSE),"nincs")</f>
        <v>Diplomatervezés</v>
      </c>
      <c r="E114" t="s">
        <v>840</v>
      </c>
      <c r="F114" t="s">
        <v>841</v>
      </c>
      <c r="G114" t="s">
        <v>81</v>
      </c>
      <c r="H114" t="str">
        <f>IFERROR(VLOOKUP($C114,'Tantárgyi adatok'!B:F,3,FALSE),"nincs")</f>
        <v>Mechatronikai mérnök</v>
      </c>
      <c r="I114" t="s">
        <v>321</v>
      </c>
      <c r="J114" t="str">
        <f>IFERROR(VLOOKUP($C114,'Tantárgyi adatok'!B:F,4,FALSE),"nincs")</f>
        <v>MSc</v>
      </c>
      <c r="K114" t="str">
        <f>IFERROR(VLOOKUP($C114,'Tantárgyi adatok'!B:F,5,FALSE),"nincs")</f>
        <v>Mechatronic Engineering</v>
      </c>
    </row>
    <row r="115" spans="1:11" x14ac:dyDescent="0.25">
      <c r="A115" t="s">
        <v>583</v>
      </c>
      <c r="B115" t="s">
        <v>584</v>
      </c>
      <c r="C115" t="s">
        <v>47</v>
      </c>
      <c r="D115" t="str">
        <f>IFERROR(VLOOKUP($C115,'Tantárgyi adatok'!B:F,2,FALSE),"nincs")</f>
        <v>Szakdolgozat</v>
      </c>
      <c r="E115" t="s">
        <v>1079</v>
      </c>
      <c r="F115" t="s">
        <v>1080</v>
      </c>
      <c r="G115" t="s">
        <v>81</v>
      </c>
      <c r="H115" t="str">
        <f>IFERROR(VLOOKUP($C115,'Tantárgyi adatok'!B:F,3,FALSE),"nincs")</f>
        <v>Mérnökinformatikus</v>
      </c>
      <c r="I115" t="s">
        <v>112</v>
      </c>
      <c r="J115" t="str">
        <f>IFERROR(VLOOKUP($C115,'Tantárgyi adatok'!B:F,4,FALSE),"nincs")</f>
        <v>BSc</v>
      </c>
      <c r="K115" t="str">
        <f>IFERROR(VLOOKUP($C115,'Tantárgyi adatok'!B:F,5,FALSE),"nincs")</f>
        <v>Computer Engineering</v>
      </c>
    </row>
    <row r="116" spans="1:11" x14ac:dyDescent="0.25">
      <c r="A116" t="s">
        <v>585</v>
      </c>
      <c r="B116" t="s">
        <v>586</v>
      </c>
      <c r="C116" t="s">
        <v>47</v>
      </c>
      <c r="D116" t="str">
        <f>IFERROR(VLOOKUP($C116,'Tantárgyi adatok'!B:F,2,FALSE),"nincs")</f>
        <v>Szakdolgozat</v>
      </c>
      <c r="E116" t="s">
        <v>1081</v>
      </c>
      <c r="F116" t="s">
        <v>1082</v>
      </c>
      <c r="G116" t="s">
        <v>81</v>
      </c>
      <c r="H116" t="str">
        <f>IFERROR(VLOOKUP($C116,'Tantárgyi adatok'!B:F,3,FALSE),"nincs")</f>
        <v>Mérnökinformatikus</v>
      </c>
      <c r="I116" t="s">
        <v>181</v>
      </c>
      <c r="J116" t="str">
        <f>IFERROR(VLOOKUP($C116,'Tantárgyi adatok'!B:F,4,FALSE),"nincs")</f>
        <v>BSc</v>
      </c>
      <c r="K116" t="str">
        <f>IFERROR(VLOOKUP($C116,'Tantárgyi adatok'!B:F,5,FALSE),"nincs")</f>
        <v>Computer Engineering</v>
      </c>
    </row>
    <row r="117" spans="1:11" x14ac:dyDescent="0.25">
      <c r="A117" t="s">
        <v>291</v>
      </c>
      <c r="B117" t="s">
        <v>292</v>
      </c>
      <c r="C117" t="s">
        <v>15</v>
      </c>
      <c r="D117" t="str">
        <f>IFERROR(VLOOKUP($C117,'Tantárgyi adatok'!B:F,2,FALSE),"nincs")</f>
        <v>Diplomatervezés</v>
      </c>
      <c r="E117" t="s">
        <v>808</v>
      </c>
      <c r="F117" t="s">
        <v>809</v>
      </c>
      <c r="G117" t="s">
        <v>81</v>
      </c>
      <c r="H117" t="str">
        <f>IFERROR(VLOOKUP($C117,'Tantárgyi adatok'!B:F,3,FALSE),"nincs")</f>
        <v>Villamosmérnök</v>
      </c>
      <c r="I117" t="s">
        <v>144</v>
      </c>
      <c r="J117" t="str">
        <f>IFERROR(VLOOKUP($C117,'Tantárgyi adatok'!B:F,4,FALSE),"nincs")</f>
        <v>MSc</v>
      </c>
      <c r="K117" t="str">
        <f>IFERROR(VLOOKUP($C117,'Tantárgyi adatok'!B:F,5,FALSE),"nincs")</f>
        <v>Electrical Engineering</v>
      </c>
    </row>
    <row r="118" spans="1:11" x14ac:dyDescent="0.25">
      <c r="A118" t="s">
        <v>587</v>
      </c>
      <c r="B118" t="s">
        <v>588</v>
      </c>
      <c r="C118" t="s">
        <v>47</v>
      </c>
      <c r="D118" t="str">
        <f>IFERROR(VLOOKUP($C118,'Tantárgyi adatok'!B:F,2,FALSE),"nincs")</f>
        <v>Szakdolgozat</v>
      </c>
      <c r="E118" t="s">
        <v>1083</v>
      </c>
      <c r="F118" t="s">
        <v>1084</v>
      </c>
      <c r="G118" t="s">
        <v>81</v>
      </c>
      <c r="H118" t="str">
        <f>IFERROR(VLOOKUP($C118,'Tantárgyi adatok'!B:F,3,FALSE),"nincs")</f>
        <v>Mérnökinformatikus</v>
      </c>
      <c r="I118" t="s">
        <v>310</v>
      </c>
      <c r="J118" t="str">
        <f>IFERROR(VLOOKUP($C118,'Tantárgyi adatok'!B:F,4,FALSE),"nincs")</f>
        <v>BSc</v>
      </c>
      <c r="K118" t="str">
        <f>IFERROR(VLOOKUP($C118,'Tantárgyi adatok'!B:F,5,FALSE),"nincs")</f>
        <v>Computer Engineering</v>
      </c>
    </row>
    <row r="119" spans="1:11" x14ac:dyDescent="0.25">
      <c r="A119" t="s">
        <v>360</v>
      </c>
      <c r="B119" t="s">
        <v>361</v>
      </c>
      <c r="C119" t="s">
        <v>39</v>
      </c>
      <c r="D119" t="str">
        <f>IFERROR(VLOOKUP($C119,'Tantárgyi adatok'!B:F,2,FALSE),"nincs")</f>
        <v>Szakdolgozat</v>
      </c>
      <c r="E119" t="s">
        <v>864</v>
      </c>
      <c r="F119" t="s">
        <v>865</v>
      </c>
      <c r="G119" t="s">
        <v>81</v>
      </c>
      <c r="H119" t="str">
        <f>IFERROR(VLOOKUP($C119,'Tantárgyi adatok'!B:F,3,FALSE),"nincs")</f>
        <v>Mechatronikai mérnök</v>
      </c>
      <c r="I119" t="s">
        <v>321</v>
      </c>
      <c r="J119" t="str">
        <f>IFERROR(VLOOKUP($C119,'Tantárgyi adatok'!B:F,4,FALSE),"nincs")</f>
        <v>BSc</v>
      </c>
      <c r="K119" t="str">
        <f>IFERROR(VLOOKUP($C119,'Tantárgyi adatok'!B:F,5,FALSE),"nincs")</f>
        <v>Electrical Engineering</v>
      </c>
    </row>
    <row r="120" spans="1:11" x14ac:dyDescent="0.25">
      <c r="A120" t="s">
        <v>362</v>
      </c>
      <c r="B120" t="s">
        <v>363</v>
      </c>
      <c r="C120" t="s">
        <v>39</v>
      </c>
      <c r="D120" t="str">
        <f>IFERROR(VLOOKUP($C120,'Tantárgyi adatok'!B:F,2,FALSE),"nincs")</f>
        <v>Szakdolgozat</v>
      </c>
      <c r="E120" t="s">
        <v>866</v>
      </c>
      <c r="F120" t="s">
        <v>867</v>
      </c>
      <c r="G120" t="s">
        <v>81</v>
      </c>
      <c r="H120" t="str">
        <f>IFERROR(VLOOKUP($C120,'Tantárgyi adatok'!B:F,3,FALSE),"nincs")</f>
        <v>Mechatronikai mérnök</v>
      </c>
      <c r="I120" t="s">
        <v>321</v>
      </c>
      <c r="J120" t="str">
        <f>IFERROR(VLOOKUP($C120,'Tantárgyi adatok'!B:F,4,FALSE),"nincs")</f>
        <v>BSc</v>
      </c>
      <c r="K120" t="str">
        <f>IFERROR(VLOOKUP($C120,'Tantárgyi adatok'!B:F,5,FALSE),"nincs")</f>
        <v>Electrical Engineering</v>
      </c>
    </row>
    <row r="121" spans="1:11" x14ac:dyDescent="0.25">
      <c r="A121" t="s">
        <v>1191</v>
      </c>
      <c r="B121" t="s">
        <v>1192</v>
      </c>
      <c r="C121" t="s">
        <v>39</v>
      </c>
      <c r="D121" t="str">
        <f>IFERROR(VLOOKUP($C121,'Tantárgyi adatok'!B:F,2,FALSE),"nincs")</f>
        <v>Szakdolgozat</v>
      </c>
      <c r="E121" t="s">
        <v>1348</v>
      </c>
      <c r="F121" t="s">
        <v>1349</v>
      </c>
      <c r="G121" t="s">
        <v>81</v>
      </c>
      <c r="H121" t="str">
        <f>IFERROR(VLOOKUP($C121,'Tantárgyi adatok'!B:F,3,FALSE),"nincs")</f>
        <v>Mechatronikai mérnök</v>
      </c>
      <c r="I121" t="s">
        <v>321</v>
      </c>
      <c r="J121" t="str">
        <f>IFERROR(VLOOKUP($C121,'Tantárgyi adatok'!B:F,4,FALSE),"nincs")</f>
        <v>BSc</v>
      </c>
      <c r="K121" t="str">
        <f>IFERROR(VLOOKUP($C121,'Tantárgyi adatok'!B:F,5,FALSE),"nincs")</f>
        <v>Electrical Engineering</v>
      </c>
    </row>
    <row r="122" spans="1:11" x14ac:dyDescent="0.25">
      <c r="A122" t="s">
        <v>475</v>
      </c>
      <c r="B122" t="s">
        <v>476</v>
      </c>
      <c r="C122" t="s">
        <v>45</v>
      </c>
      <c r="D122" t="str">
        <f>IFERROR(VLOOKUP($C122,'Tantárgyi adatok'!B:F,2,FALSE),"nincs")</f>
        <v>Szakdolgozat</v>
      </c>
      <c r="E122" t="s">
        <v>974</v>
      </c>
      <c r="F122" t="s">
        <v>975</v>
      </c>
      <c r="G122" t="s">
        <v>81</v>
      </c>
      <c r="H122" t="str">
        <f>IFERROR(VLOOKUP($C122,'Tantárgyi adatok'!B:F,3,FALSE),"nincs")</f>
        <v>Mérnökinformatikus</v>
      </c>
      <c r="I122" t="s">
        <v>133</v>
      </c>
      <c r="J122" t="str">
        <f>IFERROR(VLOOKUP($C122,'Tantárgyi adatok'!B:F,4,FALSE),"nincs")</f>
        <v>BSc</v>
      </c>
      <c r="K122" t="str">
        <f>IFERROR(VLOOKUP($C122,'Tantárgyi adatok'!B:F,5,FALSE),"nincs")</f>
        <v>Computer Engineering</v>
      </c>
    </row>
    <row r="123" spans="1:11" x14ac:dyDescent="0.25">
      <c r="A123" t="s">
        <v>203</v>
      </c>
      <c r="B123" t="s">
        <v>204</v>
      </c>
      <c r="C123" t="s">
        <v>11</v>
      </c>
      <c r="D123" t="str">
        <f>IFERROR(VLOOKUP($C123,'Tantárgyi adatok'!B:F,2,FALSE),"nincs")</f>
        <v>Diplomatervezés</v>
      </c>
      <c r="E123" t="s">
        <v>731</v>
      </c>
      <c r="F123" t="s">
        <v>732</v>
      </c>
      <c r="G123" t="s">
        <v>81</v>
      </c>
      <c r="H123" t="str">
        <f>IFERROR(VLOOKUP($C123,'Tantárgyi adatok'!B:F,3,FALSE),"nincs")</f>
        <v>Mérnökinformatikus</v>
      </c>
      <c r="I123" t="s">
        <v>205</v>
      </c>
      <c r="J123" t="str">
        <f>IFERROR(VLOOKUP($C123,'Tantárgyi adatok'!B:F,4,FALSE),"nincs")</f>
        <v>MSc</v>
      </c>
      <c r="K123" t="str">
        <f>IFERROR(VLOOKUP($C123,'Tantárgyi adatok'!B:F,5,FALSE),"nincs")</f>
        <v>Computer Engineering</v>
      </c>
    </row>
    <row r="124" spans="1:11" x14ac:dyDescent="0.25">
      <c r="A124" t="s">
        <v>477</v>
      </c>
      <c r="B124" t="s">
        <v>478</v>
      </c>
      <c r="C124" t="s">
        <v>45</v>
      </c>
      <c r="D124" t="str">
        <f>IFERROR(VLOOKUP($C124,'Tantárgyi adatok'!B:F,2,FALSE),"nincs")</f>
        <v>Szakdolgozat</v>
      </c>
      <c r="E124" t="s">
        <v>976</v>
      </c>
      <c r="F124" t="s">
        <v>977</v>
      </c>
      <c r="G124" t="s">
        <v>81</v>
      </c>
      <c r="H124" t="str">
        <f>IFERROR(VLOOKUP($C124,'Tantárgyi adatok'!B:F,3,FALSE),"nincs")</f>
        <v>Mérnökinformatikus</v>
      </c>
      <c r="I124" t="s">
        <v>104</v>
      </c>
      <c r="J124" t="str">
        <f>IFERROR(VLOOKUP($C124,'Tantárgyi adatok'!B:F,4,FALSE),"nincs")</f>
        <v>BSc</v>
      </c>
      <c r="K124" t="str">
        <f>IFERROR(VLOOKUP($C124,'Tantárgyi adatok'!B:F,5,FALSE),"nincs")</f>
        <v>Computer Engineering</v>
      </c>
    </row>
    <row r="125" spans="1:11" x14ac:dyDescent="0.25">
      <c r="A125" t="s">
        <v>401</v>
      </c>
      <c r="B125" t="s">
        <v>402</v>
      </c>
      <c r="C125" t="s">
        <v>41</v>
      </c>
      <c r="D125" t="str">
        <f>IFERROR(VLOOKUP($C125,'Tantárgyi adatok'!B:F,2,FALSE),"nincs")</f>
        <v>Szakdolgozat</v>
      </c>
      <c r="E125" t="s">
        <v>902</v>
      </c>
      <c r="F125" t="s">
        <v>903</v>
      </c>
      <c r="G125" t="s">
        <v>81</v>
      </c>
      <c r="H125" t="str">
        <f>IFERROR(VLOOKUP($C125,'Tantárgyi adatok'!B:F,3,FALSE),"nincs")</f>
        <v>Villamosmérnök</v>
      </c>
      <c r="I125" t="s">
        <v>295</v>
      </c>
      <c r="J125" t="str">
        <f>IFERROR(VLOOKUP($C125,'Tantárgyi adatok'!B:F,4,FALSE),"nincs")</f>
        <v>BSc</v>
      </c>
      <c r="K125" t="str">
        <f>IFERROR(VLOOKUP($C125,'Tantárgyi adatok'!B:F,5,FALSE),"nincs")</f>
        <v>Electrical Engineering</v>
      </c>
    </row>
    <row r="126" spans="1:11" x14ac:dyDescent="0.25">
      <c r="A126" t="s">
        <v>589</v>
      </c>
      <c r="B126" t="s">
        <v>590</v>
      </c>
      <c r="C126" t="s">
        <v>47</v>
      </c>
      <c r="D126" t="str">
        <f>IFERROR(VLOOKUP($C126,'Tantárgyi adatok'!B:F,2,FALSE),"nincs")</f>
        <v>Szakdolgozat</v>
      </c>
      <c r="E126" t="s">
        <v>1085</v>
      </c>
      <c r="F126" t="s">
        <v>1086</v>
      </c>
      <c r="G126" t="s">
        <v>81</v>
      </c>
      <c r="H126" t="str">
        <f>IFERROR(VLOOKUP($C126,'Tantárgyi adatok'!B:F,3,FALSE),"nincs")</f>
        <v>Mérnökinformatikus</v>
      </c>
      <c r="I126" t="s">
        <v>133</v>
      </c>
      <c r="J126" t="str">
        <f>IFERROR(VLOOKUP($C126,'Tantárgyi adatok'!B:F,4,FALSE),"nincs")</f>
        <v>BSc</v>
      </c>
      <c r="K126" t="str">
        <f>IFERROR(VLOOKUP($C126,'Tantárgyi adatok'!B:F,5,FALSE),"nincs")</f>
        <v>Computer Engineering</v>
      </c>
    </row>
    <row r="127" spans="1:11" x14ac:dyDescent="0.25">
      <c r="A127" t="s">
        <v>206</v>
      </c>
      <c r="B127" t="s">
        <v>207</v>
      </c>
      <c r="C127" t="s">
        <v>11</v>
      </c>
      <c r="D127" t="str">
        <f>IFERROR(VLOOKUP($C127,'Tantárgyi adatok'!B:F,2,FALSE),"nincs")</f>
        <v>Diplomatervezés</v>
      </c>
      <c r="E127" t="s">
        <v>733</v>
      </c>
      <c r="F127" t="s">
        <v>734</v>
      </c>
      <c r="G127" t="s">
        <v>81</v>
      </c>
      <c r="H127" t="str">
        <f>IFERROR(VLOOKUP($C127,'Tantárgyi adatok'!B:F,3,FALSE),"nincs")</f>
        <v>Mérnökinformatikus</v>
      </c>
      <c r="I127" t="s">
        <v>105</v>
      </c>
      <c r="J127" t="str">
        <f>IFERROR(VLOOKUP($C127,'Tantárgyi adatok'!B:F,4,FALSE),"nincs")</f>
        <v>MSc</v>
      </c>
      <c r="K127" t="str">
        <f>IFERROR(VLOOKUP($C127,'Tantárgyi adatok'!B:F,5,FALSE),"nincs")</f>
        <v>Computer Engineering</v>
      </c>
    </row>
    <row r="128" spans="1:11" x14ac:dyDescent="0.25">
      <c r="A128" t="s">
        <v>208</v>
      </c>
      <c r="B128" t="s">
        <v>209</v>
      </c>
      <c r="C128" t="s">
        <v>11</v>
      </c>
      <c r="D128" t="str">
        <f>IFERROR(VLOOKUP($C128,'Tantárgyi adatok'!B:F,2,FALSE),"nincs")</f>
        <v>Diplomatervezés</v>
      </c>
      <c r="E128" t="s">
        <v>735</v>
      </c>
      <c r="F128" t="s">
        <v>736</v>
      </c>
      <c r="G128" t="s">
        <v>81</v>
      </c>
      <c r="H128" t="str">
        <f>IFERROR(VLOOKUP($C128,'Tantárgyi adatok'!B:F,3,FALSE),"nincs")</f>
        <v>Mérnökinformatikus</v>
      </c>
      <c r="I128" t="s">
        <v>105</v>
      </c>
      <c r="J128" t="str">
        <f>IFERROR(VLOOKUP($C128,'Tantárgyi adatok'!B:F,4,FALSE),"nincs")</f>
        <v>MSc</v>
      </c>
      <c r="K128" t="str">
        <f>IFERROR(VLOOKUP($C128,'Tantárgyi adatok'!B:F,5,FALSE),"nincs")</f>
        <v>Computer Engineering</v>
      </c>
    </row>
    <row r="129" spans="1:11" x14ac:dyDescent="0.25">
      <c r="A129" t="s">
        <v>333</v>
      </c>
      <c r="B129" t="s">
        <v>334</v>
      </c>
      <c r="C129" t="s">
        <v>19</v>
      </c>
      <c r="D129" t="str">
        <f>IFERROR(VLOOKUP($C129,'Tantárgyi adatok'!B:F,2,FALSE),"nincs")</f>
        <v>Diplomatervezés</v>
      </c>
      <c r="E129" t="s">
        <v>842</v>
      </c>
      <c r="F129" t="s">
        <v>843</v>
      </c>
      <c r="G129" t="s">
        <v>81</v>
      </c>
      <c r="H129" t="str">
        <f>IFERROR(VLOOKUP($C129,'Tantárgyi adatok'!B:F,3,FALSE),"nincs")</f>
        <v>Mechatronikai mérnök</v>
      </c>
      <c r="I129" t="s">
        <v>321</v>
      </c>
      <c r="J129" t="str">
        <f>IFERROR(VLOOKUP($C129,'Tantárgyi adatok'!B:F,4,FALSE),"nincs")</f>
        <v>MSc</v>
      </c>
      <c r="K129" t="str">
        <f>IFERROR(VLOOKUP($C129,'Tantárgyi adatok'!B:F,5,FALSE),"nincs")</f>
        <v>Mechatronic Engineering</v>
      </c>
    </row>
    <row r="130" spans="1:11" x14ac:dyDescent="0.25">
      <c r="A130" t="s">
        <v>293</v>
      </c>
      <c r="B130" t="s">
        <v>294</v>
      </c>
      <c r="C130" t="s">
        <v>15</v>
      </c>
      <c r="D130" t="str">
        <f>IFERROR(VLOOKUP($C130,'Tantárgyi adatok'!B:F,2,FALSE),"nincs")</f>
        <v>Diplomatervezés</v>
      </c>
      <c r="E130" t="s">
        <v>810</v>
      </c>
      <c r="F130" t="s">
        <v>811</v>
      </c>
      <c r="G130" t="s">
        <v>81</v>
      </c>
      <c r="H130" t="str">
        <f>IFERROR(VLOOKUP($C130,'Tantárgyi adatok'!B:F,3,FALSE),"nincs")</f>
        <v>Villamosmérnök</v>
      </c>
      <c r="I130" t="s">
        <v>295</v>
      </c>
      <c r="J130" t="str">
        <f>IFERROR(VLOOKUP($C130,'Tantárgyi adatok'!B:F,4,FALSE),"nincs")</f>
        <v>MSc</v>
      </c>
      <c r="K130" t="str">
        <f>IFERROR(VLOOKUP($C130,'Tantárgyi adatok'!B:F,5,FALSE),"nincs")</f>
        <v>Electrical Engineering</v>
      </c>
    </row>
    <row r="131" spans="1:11" x14ac:dyDescent="0.25">
      <c r="A131" t="s">
        <v>293</v>
      </c>
      <c r="B131" t="s">
        <v>294</v>
      </c>
      <c r="C131" t="s">
        <v>15</v>
      </c>
      <c r="D131" t="str">
        <f>IFERROR(VLOOKUP($C131,'Tantárgyi adatok'!B:F,2,FALSE),"nincs")</f>
        <v>Diplomatervezés</v>
      </c>
      <c r="E131" t="s">
        <v>810</v>
      </c>
      <c r="F131" t="s">
        <v>811</v>
      </c>
      <c r="G131" t="s">
        <v>81</v>
      </c>
      <c r="H131" t="str">
        <f>IFERROR(VLOOKUP($C131,'Tantárgyi adatok'!B:F,3,FALSE),"nincs")</f>
        <v>Villamosmérnök</v>
      </c>
      <c r="I131" t="s">
        <v>149</v>
      </c>
      <c r="J131" t="str">
        <f>IFERROR(VLOOKUP($C131,'Tantárgyi adatok'!B:F,4,FALSE),"nincs")</f>
        <v>MSc</v>
      </c>
      <c r="K131" t="str">
        <f>IFERROR(VLOOKUP($C131,'Tantárgyi adatok'!B:F,5,FALSE),"nincs")</f>
        <v>Electrical Engineering</v>
      </c>
    </row>
    <row r="132" spans="1:11" x14ac:dyDescent="0.25">
      <c r="A132" t="s">
        <v>1203</v>
      </c>
      <c r="B132" t="s">
        <v>1204</v>
      </c>
      <c r="C132" t="s">
        <v>47</v>
      </c>
      <c r="D132" t="str">
        <f>IFERROR(VLOOKUP($C132,'Tantárgyi adatok'!B:F,2,FALSE),"nincs")</f>
        <v>Szakdolgozat</v>
      </c>
      <c r="E132" t="s">
        <v>1350</v>
      </c>
      <c r="F132" t="s">
        <v>1351</v>
      </c>
      <c r="G132" t="s">
        <v>81</v>
      </c>
      <c r="H132" t="str">
        <f>IFERROR(VLOOKUP($C132,'Tantárgyi adatok'!B:F,3,FALSE),"nincs")</f>
        <v>Mérnökinformatikus</v>
      </c>
      <c r="I132" t="s">
        <v>295</v>
      </c>
      <c r="J132" t="str">
        <f>IFERROR(VLOOKUP($C132,'Tantárgyi adatok'!B:F,4,FALSE),"nincs")</f>
        <v>BSc</v>
      </c>
      <c r="K132" t="str">
        <f>IFERROR(VLOOKUP($C132,'Tantárgyi adatok'!B:F,5,FALSE),"nincs")</f>
        <v>Computer Engineering</v>
      </c>
    </row>
    <row r="133" spans="1:11" x14ac:dyDescent="0.25">
      <c r="A133" t="s">
        <v>1203</v>
      </c>
      <c r="B133" t="s">
        <v>1204</v>
      </c>
      <c r="C133" t="s">
        <v>47</v>
      </c>
      <c r="D133" t="str">
        <f>IFERROR(VLOOKUP($C133,'Tantárgyi adatok'!B:F,2,FALSE),"nincs")</f>
        <v>Szakdolgozat</v>
      </c>
      <c r="E133" t="s">
        <v>1350</v>
      </c>
      <c r="F133" t="s">
        <v>1351</v>
      </c>
      <c r="G133" t="s">
        <v>81</v>
      </c>
      <c r="H133" t="str">
        <f>IFERROR(VLOOKUP($C133,'Tantárgyi adatok'!B:F,3,FALSE),"nincs")</f>
        <v>Mérnökinformatikus</v>
      </c>
      <c r="I133" t="s">
        <v>149</v>
      </c>
      <c r="J133" t="str">
        <f>IFERROR(VLOOKUP($C133,'Tantárgyi adatok'!B:F,4,FALSE),"nincs")</f>
        <v>BSc</v>
      </c>
      <c r="K133" t="str">
        <f>IFERROR(VLOOKUP($C133,'Tantárgyi adatok'!B:F,5,FALSE),"nincs")</f>
        <v>Computer Engineering</v>
      </c>
    </row>
    <row r="134" spans="1:11" x14ac:dyDescent="0.25">
      <c r="A134" t="s">
        <v>591</v>
      </c>
      <c r="B134" t="s">
        <v>592</v>
      </c>
      <c r="C134" t="s">
        <v>47</v>
      </c>
      <c r="D134" t="str">
        <f>IFERROR(VLOOKUP($C134,'Tantárgyi adatok'!B:F,2,FALSE),"nincs")</f>
        <v>Szakdolgozat</v>
      </c>
      <c r="E134" t="s">
        <v>1087</v>
      </c>
      <c r="F134" t="s">
        <v>1088</v>
      </c>
      <c r="G134" t="s">
        <v>81</v>
      </c>
      <c r="H134" t="str">
        <f>IFERROR(VLOOKUP($C134,'Tantárgyi adatok'!B:F,3,FALSE),"nincs")</f>
        <v>Mérnökinformatikus</v>
      </c>
      <c r="I134" t="s">
        <v>202</v>
      </c>
      <c r="J134" t="str">
        <f>IFERROR(VLOOKUP($C134,'Tantárgyi adatok'!B:F,4,FALSE),"nincs")</f>
        <v>BSc</v>
      </c>
      <c r="K134" t="str">
        <f>IFERROR(VLOOKUP($C134,'Tantárgyi adatok'!B:F,5,FALSE),"nincs")</f>
        <v>Computer Engineering</v>
      </c>
    </row>
    <row r="135" spans="1:11" x14ac:dyDescent="0.25">
      <c r="A135" t="s">
        <v>403</v>
      </c>
      <c r="B135" t="s">
        <v>404</v>
      </c>
      <c r="C135" t="s">
        <v>41</v>
      </c>
      <c r="D135" t="str">
        <f>IFERROR(VLOOKUP($C135,'Tantárgyi adatok'!B:F,2,FALSE),"nincs")</f>
        <v>Szakdolgozat</v>
      </c>
      <c r="E135" t="s">
        <v>904</v>
      </c>
      <c r="F135" t="s">
        <v>905</v>
      </c>
      <c r="G135" t="s">
        <v>81</v>
      </c>
      <c r="H135" t="str">
        <f>IFERROR(VLOOKUP($C135,'Tantárgyi adatok'!B:F,3,FALSE),"nincs")</f>
        <v>Villamosmérnök</v>
      </c>
      <c r="I135" t="s">
        <v>141</v>
      </c>
      <c r="J135" t="str">
        <f>IFERROR(VLOOKUP($C135,'Tantárgyi adatok'!B:F,4,FALSE),"nincs")</f>
        <v>BSc</v>
      </c>
      <c r="K135" t="str">
        <f>IFERROR(VLOOKUP($C135,'Tantárgyi adatok'!B:F,5,FALSE),"nincs")</f>
        <v>Electrical Engineering</v>
      </c>
    </row>
    <row r="136" spans="1:11" x14ac:dyDescent="0.25">
      <c r="A136" t="s">
        <v>335</v>
      </c>
      <c r="B136" t="s">
        <v>336</v>
      </c>
      <c r="C136" t="s">
        <v>19</v>
      </c>
      <c r="D136" t="str">
        <f>IFERROR(VLOOKUP($C136,'Tantárgyi adatok'!B:F,2,FALSE),"nincs")</f>
        <v>Diplomatervezés</v>
      </c>
      <c r="E136" t="s">
        <v>844</v>
      </c>
      <c r="F136" t="s">
        <v>845</v>
      </c>
      <c r="G136" t="s">
        <v>81</v>
      </c>
      <c r="H136" t="str">
        <f>IFERROR(VLOOKUP($C136,'Tantárgyi adatok'!B:F,3,FALSE),"nincs")</f>
        <v>Mechatronikai mérnök</v>
      </c>
      <c r="I136" t="s">
        <v>321</v>
      </c>
      <c r="J136" t="str">
        <f>IFERROR(VLOOKUP($C136,'Tantárgyi adatok'!B:F,4,FALSE),"nincs")</f>
        <v>MSc</v>
      </c>
      <c r="K136" t="str">
        <f>IFERROR(VLOOKUP($C136,'Tantárgyi adatok'!B:F,5,FALSE),"nincs")</f>
        <v>Mechatronic Engineering</v>
      </c>
    </row>
    <row r="137" spans="1:11" x14ac:dyDescent="0.25">
      <c r="A137" t="s">
        <v>593</v>
      </c>
      <c r="B137" t="s">
        <v>594</v>
      </c>
      <c r="C137" t="s">
        <v>47</v>
      </c>
      <c r="D137" t="str">
        <f>IFERROR(VLOOKUP($C137,'Tantárgyi adatok'!B:F,2,FALSE),"nincs")</f>
        <v>Szakdolgozat</v>
      </c>
      <c r="E137" t="s">
        <v>1089</v>
      </c>
      <c r="F137" t="s">
        <v>1090</v>
      </c>
      <c r="G137" t="s">
        <v>81</v>
      </c>
      <c r="H137" t="str">
        <f>IFERROR(VLOOKUP($C137,'Tantárgyi adatok'!B:F,3,FALSE),"nincs")</f>
        <v>Mérnökinformatikus</v>
      </c>
      <c r="I137" t="s">
        <v>157</v>
      </c>
      <c r="J137" t="str">
        <f>IFERROR(VLOOKUP($C137,'Tantárgyi adatok'!B:F,4,FALSE),"nincs")</f>
        <v>BSc</v>
      </c>
      <c r="K137" t="str">
        <f>IFERROR(VLOOKUP($C137,'Tantárgyi adatok'!B:F,5,FALSE),"nincs")</f>
        <v>Computer Engineering</v>
      </c>
    </row>
    <row r="138" spans="1:11" x14ac:dyDescent="0.25">
      <c r="A138" t="s">
        <v>210</v>
      </c>
      <c r="B138" t="s">
        <v>211</v>
      </c>
      <c r="C138" t="s">
        <v>11</v>
      </c>
      <c r="D138" t="str">
        <f>IFERROR(VLOOKUP($C138,'Tantárgyi adatok'!B:F,2,FALSE),"nincs")</f>
        <v>Diplomatervezés</v>
      </c>
      <c r="E138" t="s">
        <v>737</v>
      </c>
      <c r="F138" t="s">
        <v>738</v>
      </c>
      <c r="G138" t="s">
        <v>81</v>
      </c>
      <c r="H138" t="str">
        <f>IFERROR(VLOOKUP($C138,'Tantárgyi adatok'!B:F,3,FALSE),"nincs")</f>
        <v>Mérnökinformatikus</v>
      </c>
      <c r="I138" t="s">
        <v>138</v>
      </c>
      <c r="J138" t="str">
        <f>IFERROR(VLOOKUP($C138,'Tantárgyi adatok'!B:F,4,FALSE),"nincs")</f>
        <v>MSc</v>
      </c>
      <c r="K138" t="str">
        <f>IFERROR(VLOOKUP($C138,'Tantárgyi adatok'!B:F,5,FALSE),"nincs")</f>
        <v>Computer Engineering</v>
      </c>
    </row>
    <row r="139" spans="1:11" x14ac:dyDescent="0.25">
      <c r="A139" t="s">
        <v>212</v>
      </c>
      <c r="B139" t="s">
        <v>213</v>
      </c>
      <c r="C139" t="s">
        <v>11</v>
      </c>
      <c r="D139" t="str">
        <f>IFERROR(VLOOKUP($C139,'Tantárgyi adatok'!B:F,2,FALSE),"nincs")</f>
        <v>Diplomatervezés</v>
      </c>
      <c r="E139" t="s">
        <v>739</v>
      </c>
      <c r="F139" t="s">
        <v>740</v>
      </c>
      <c r="G139" t="s">
        <v>81</v>
      </c>
      <c r="H139" t="str">
        <f>IFERROR(VLOOKUP($C139,'Tantárgyi adatok'!B:F,3,FALSE),"nincs")</f>
        <v>Mérnökinformatikus</v>
      </c>
      <c r="I139" t="s">
        <v>138</v>
      </c>
      <c r="J139" t="str">
        <f>IFERROR(VLOOKUP($C139,'Tantárgyi adatok'!B:F,4,FALSE),"nincs")</f>
        <v>MSc</v>
      </c>
      <c r="K139" t="str">
        <f>IFERROR(VLOOKUP($C139,'Tantárgyi adatok'!B:F,5,FALSE),"nincs")</f>
        <v>Computer Engineering</v>
      </c>
    </row>
    <row r="140" spans="1:11" x14ac:dyDescent="0.25">
      <c r="A140" t="s">
        <v>1196</v>
      </c>
      <c r="B140" t="s">
        <v>1197</v>
      </c>
      <c r="C140" t="s">
        <v>43</v>
      </c>
      <c r="D140" t="str">
        <f>IFERROR(VLOOKUP($C140,'Tantárgyi adatok'!B:F,2,FALSE),"nincs")</f>
        <v>Szakdolgozat</v>
      </c>
      <c r="E140" t="s">
        <v>1352</v>
      </c>
      <c r="F140" t="s">
        <v>1353</v>
      </c>
      <c r="G140" t="s">
        <v>81</v>
      </c>
      <c r="H140" t="str">
        <f>IFERROR(VLOOKUP($C140,'Tantárgyi adatok'!B:F,3,FALSE),"nincs")</f>
        <v>Villamosmérnök</v>
      </c>
      <c r="I140" t="s">
        <v>280</v>
      </c>
      <c r="J140" t="str">
        <f>IFERROR(VLOOKUP($C140,'Tantárgyi adatok'!B:F,4,FALSE),"nincs")</f>
        <v>BSc</v>
      </c>
      <c r="K140" t="str">
        <f>IFERROR(VLOOKUP($C140,'Tantárgyi adatok'!B:F,5,FALSE),"nincs")</f>
        <v>Electrical Engineering</v>
      </c>
    </row>
    <row r="141" spans="1:11" x14ac:dyDescent="0.25">
      <c r="A141" t="s">
        <v>595</v>
      </c>
      <c r="B141" t="s">
        <v>596</v>
      </c>
      <c r="C141" t="s">
        <v>47</v>
      </c>
      <c r="D141" t="str">
        <f>IFERROR(VLOOKUP($C141,'Tantárgyi adatok'!B:F,2,FALSE),"nincs")</f>
        <v>Szakdolgozat</v>
      </c>
      <c r="E141" t="s">
        <v>1091</v>
      </c>
      <c r="F141" t="s">
        <v>1092</v>
      </c>
      <c r="G141" t="s">
        <v>81</v>
      </c>
      <c r="H141" t="str">
        <f>IFERROR(VLOOKUP($C141,'Tantárgyi adatok'!B:F,3,FALSE),"nincs")</f>
        <v>Mérnökinformatikus</v>
      </c>
      <c r="I141" t="s">
        <v>133</v>
      </c>
      <c r="J141" t="str">
        <f>IFERROR(VLOOKUP($C141,'Tantárgyi adatok'!B:F,4,FALSE),"nincs")</f>
        <v>BSc</v>
      </c>
      <c r="K141" t="str">
        <f>IFERROR(VLOOKUP($C141,'Tantárgyi adatok'!B:F,5,FALSE),"nincs")</f>
        <v>Computer Engineering</v>
      </c>
    </row>
    <row r="142" spans="1:11" x14ac:dyDescent="0.25">
      <c r="A142" t="s">
        <v>337</v>
      </c>
      <c r="B142" t="s">
        <v>338</v>
      </c>
      <c r="C142" t="s">
        <v>19</v>
      </c>
      <c r="D142" t="str">
        <f>IFERROR(VLOOKUP($C142,'Tantárgyi adatok'!B:F,2,FALSE),"nincs")</f>
        <v>Diplomatervezés</v>
      </c>
      <c r="E142" t="s">
        <v>846</v>
      </c>
      <c r="F142" t="s">
        <v>847</v>
      </c>
      <c r="G142" t="s">
        <v>81</v>
      </c>
      <c r="H142" t="str">
        <f>IFERROR(VLOOKUP($C142,'Tantárgyi adatok'!B:F,3,FALSE),"nincs")</f>
        <v>Mechatronikai mérnök</v>
      </c>
      <c r="I142" t="s">
        <v>173</v>
      </c>
      <c r="J142" t="str">
        <f>IFERROR(VLOOKUP($C142,'Tantárgyi adatok'!B:F,4,FALSE),"nincs")</f>
        <v>MSc</v>
      </c>
      <c r="K142" t="str">
        <f>IFERROR(VLOOKUP($C142,'Tantárgyi adatok'!B:F,5,FALSE),"nincs")</f>
        <v>Mechatronic Engineering</v>
      </c>
    </row>
    <row r="143" spans="1:11" x14ac:dyDescent="0.25">
      <c r="A143" t="s">
        <v>1178</v>
      </c>
      <c r="B143" t="s">
        <v>1179</v>
      </c>
      <c r="C143" t="s">
        <v>15</v>
      </c>
      <c r="D143" t="str">
        <f>IFERROR(VLOOKUP($C143,'Tantárgyi adatok'!B:F,2,FALSE),"nincs")</f>
        <v>Diplomatervezés</v>
      </c>
      <c r="E143" t="s">
        <v>1354</v>
      </c>
      <c r="F143" t="s">
        <v>1355</v>
      </c>
      <c r="G143" t="s">
        <v>81</v>
      </c>
      <c r="H143" t="str">
        <f>IFERROR(VLOOKUP($C143,'Tantárgyi adatok'!B:F,3,FALSE),"nincs")</f>
        <v>Villamosmérnök</v>
      </c>
      <c r="I143" t="s">
        <v>144</v>
      </c>
      <c r="J143" t="str">
        <f>IFERROR(VLOOKUP($C143,'Tantárgyi adatok'!B:F,4,FALSE),"nincs")</f>
        <v>MSc</v>
      </c>
      <c r="K143" t="str">
        <f>IFERROR(VLOOKUP($C143,'Tantárgyi adatok'!B:F,5,FALSE),"nincs")</f>
        <v>Electrical Engineering</v>
      </c>
    </row>
    <row r="144" spans="1:11" x14ac:dyDescent="0.25">
      <c r="A144" t="s">
        <v>405</v>
      </c>
      <c r="B144" t="s">
        <v>406</v>
      </c>
      <c r="C144" t="s">
        <v>41</v>
      </c>
      <c r="D144" t="str">
        <f>IFERROR(VLOOKUP($C144,'Tantárgyi adatok'!B:F,2,FALSE),"nincs")</f>
        <v>Szakdolgozat</v>
      </c>
      <c r="E144" t="s">
        <v>906</v>
      </c>
      <c r="F144" t="s">
        <v>907</v>
      </c>
      <c r="G144" t="s">
        <v>81</v>
      </c>
      <c r="H144" t="str">
        <f>IFERROR(VLOOKUP($C144,'Tantárgyi adatok'!B:F,3,FALSE),"nincs")</f>
        <v>Villamosmérnök</v>
      </c>
      <c r="I144" t="s">
        <v>148</v>
      </c>
      <c r="J144" t="str">
        <f>IFERROR(VLOOKUP($C144,'Tantárgyi adatok'!B:F,4,FALSE),"nincs")</f>
        <v>BSc</v>
      </c>
      <c r="K144" t="str">
        <f>IFERROR(VLOOKUP($C144,'Tantárgyi adatok'!B:F,5,FALSE),"nincs")</f>
        <v>Electrical Engineering</v>
      </c>
    </row>
    <row r="145" spans="1:11" x14ac:dyDescent="0.25">
      <c r="A145" t="s">
        <v>296</v>
      </c>
      <c r="B145" t="s">
        <v>297</v>
      </c>
      <c r="C145" t="s">
        <v>15</v>
      </c>
      <c r="D145" t="str">
        <f>IFERROR(VLOOKUP($C145,'Tantárgyi adatok'!B:F,2,FALSE),"nincs")</f>
        <v>Diplomatervezés</v>
      </c>
      <c r="E145" t="s">
        <v>812</v>
      </c>
      <c r="F145" t="s">
        <v>813</v>
      </c>
      <c r="G145" t="s">
        <v>81</v>
      </c>
      <c r="H145" t="str">
        <f>IFERROR(VLOOKUP($C145,'Tantárgyi adatok'!B:F,3,FALSE),"nincs")</f>
        <v>Villamosmérnök</v>
      </c>
      <c r="I145" t="s">
        <v>205</v>
      </c>
      <c r="J145" t="str">
        <f>IFERROR(VLOOKUP($C145,'Tantárgyi adatok'!B:F,4,FALSE),"nincs")</f>
        <v>MSc</v>
      </c>
      <c r="K145" t="str">
        <f>IFERROR(VLOOKUP($C145,'Tantárgyi adatok'!B:F,5,FALSE),"nincs")</f>
        <v>Electrical Engineering</v>
      </c>
    </row>
    <row r="146" spans="1:11" x14ac:dyDescent="0.25">
      <c r="A146" t="s">
        <v>407</v>
      </c>
      <c r="B146" t="s">
        <v>408</v>
      </c>
      <c r="C146" t="s">
        <v>41</v>
      </c>
      <c r="D146" t="str">
        <f>IFERROR(VLOOKUP($C146,'Tantárgyi adatok'!B:F,2,FALSE),"nincs")</f>
        <v>Szakdolgozat</v>
      </c>
      <c r="E146" t="s">
        <v>908</v>
      </c>
      <c r="F146" t="s">
        <v>909</v>
      </c>
      <c r="G146" t="s">
        <v>81</v>
      </c>
      <c r="H146" t="str">
        <f>IFERROR(VLOOKUP($C146,'Tantárgyi adatok'!B:F,3,FALSE),"nincs")</f>
        <v>Villamosmérnök</v>
      </c>
      <c r="I146" t="s">
        <v>310</v>
      </c>
      <c r="J146" t="str">
        <f>IFERROR(VLOOKUP($C146,'Tantárgyi adatok'!B:F,4,FALSE),"nincs")</f>
        <v>BSc</v>
      </c>
      <c r="K146" t="str">
        <f>IFERROR(VLOOKUP($C146,'Tantárgyi adatok'!B:F,5,FALSE),"nincs")</f>
        <v>Electrical Engineering</v>
      </c>
    </row>
    <row r="147" spans="1:11" x14ac:dyDescent="0.25">
      <c r="A147" t="s">
        <v>298</v>
      </c>
      <c r="B147" t="s">
        <v>299</v>
      </c>
      <c r="C147" t="s">
        <v>15</v>
      </c>
      <c r="D147" t="str">
        <f>IFERROR(VLOOKUP($C147,'Tantárgyi adatok'!B:F,2,FALSE),"nincs")</f>
        <v>Diplomatervezés</v>
      </c>
      <c r="E147" t="s">
        <v>814</v>
      </c>
      <c r="F147" t="s">
        <v>815</v>
      </c>
      <c r="G147" t="s">
        <v>81</v>
      </c>
      <c r="H147" t="str">
        <f>IFERROR(VLOOKUP($C147,'Tantárgyi adatok'!B:F,3,FALSE),"nincs")</f>
        <v>Villamosmérnök</v>
      </c>
      <c r="I147" t="s">
        <v>149</v>
      </c>
      <c r="J147" t="str">
        <f>IFERROR(VLOOKUP($C147,'Tantárgyi adatok'!B:F,4,FALSE),"nincs")</f>
        <v>MSc</v>
      </c>
      <c r="K147" t="str">
        <f>IFERROR(VLOOKUP($C147,'Tantárgyi adatok'!B:F,5,FALSE),"nincs")</f>
        <v>Electrical Engineering</v>
      </c>
    </row>
    <row r="148" spans="1:11" x14ac:dyDescent="0.25">
      <c r="A148" t="s">
        <v>597</v>
      </c>
      <c r="B148" t="s">
        <v>598</v>
      </c>
      <c r="C148" t="s">
        <v>47</v>
      </c>
      <c r="D148" t="str">
        <f>IFERROR(VLOOKUP($C148,'Tantárgyi adatok'!B:F,2,FALSE),"nincs")</f>
        <v>Szakdolgozat</v>
      </c>
      <c r="E148" t="s">
        <v>1093</v>
      </c>
      <c r="F148" t="s">
        <v>1094</v>
      </c>
      <c r="G148" t="s">
        <v>81</v>
      </c>
      <c r="H148" t="str">
        <f>IFERROR(VLOOKUP($C148,'Tantárgyi adatok'!B:F,3,FALSE),"nincs")</f>
        <v>Mérnökinformatikus</v>
      </c>
      <c r="I148" t="s">
        <v>202</v>
      </c>
      <c r="J148" t="str">
        <f>IFERROR(VLOOKUP($C148,'Tantárgyi adatok'!B:F,4,FALSE),"nincs")</f>
        <v>BSc</v>
      </c>
      <c r="K148" t="str">
        <f>IFERROR(VLOOKUP($C148,'Tantárgyi adatok'!B:F,5,FALSE),"nincs")</f>
        <v>Computer Engineering</v>
      </c>
    </row>
    <row r="149" spans="1:11" x14ac:dyDescent="0.25">
      <c r="A149" t="s">
        <v>214</v>
      </c>
      <c r="B149" t="s">
        <v>215</v>
      </c>
      <c r="C149" t="s">
        <v>11</v>
      </c>
      <c r="D149" t="str">
        <f>IFERROR(VLOOKUP($C149,'Tantárgyi adatok'!B:F,2,FALSE),"nincs")</f>
        <v>Diplomatervezés</v>
      </c>
      <c r="E149" t="s">
        <v>741</v>
      </c>
      <c r="F149" t="s">
        <v>742</v>
      </c>
      <c r="G149" t="s">
        <v>81</v>
      </c>
      <c r="H149" t="str">
        <f>IFERROR(VLOOKUP($C149,'Tantárgyi adatok'!B:F,3,FALSE),"nincs")</f>
        <v>Mérnökinformatikus</v>
      </c>
      <c r="I149" t="s">
        <v>139</v>
      </c>
      <c r="J149" t="str">
        <f>IFERROR(VLOOKUP($C149,'Tantárgyi adatok'!B:F,4,FALSE),"nincs")</f>
        <v>MSc</v>
      </c>
      <c r="K149" t="str">
        <f>IFERROR(VLOOKUP($C149,'Tantárgyi adatok'!B:F,5,FALSE),"nincs")</f>
        <v>Computer Engineering</v>
      </c>
    </row>
    <row r="150" spans="1:11" x14ac:dyDescent="0.25">
      <c r="A150" t="s">
        <v>599</v>
      </c>
      <c r="B150" t="s">
        <v>600</v>
      </c>
      <c r="C150" t="s">
        <v>47</v>
      </c>
      <c r="D150" t="str">
        <f>IFERROR(VLOOKUP($C150,'Tantárgyi adatok'!B:F,2,FALSE),"nincs")</f>
        <v>Szakdolgozat</v>
      </c>
      <c r="E150" t="s">
        <v>1095</v>
      </c>
      <c r="F150" t="s">
        <v>1096</v>
      </c>
      <c r="G150" t="s">
        <v>81</v>
      </c>
      <c r="H150" t="str">
        <f>IFERROR(VLOOKUP($C150,'Tantárgyi adatok'!B:F,3,FALSE),"nincs")</f>
        <v>Mérnökinformatikus</v>
      </c>
      <c r="I150" t="s">
        <v>133</v>
      </c>
      <c r="J150" t="str">
        <f>IFERROR(VLOOKUP($C150,'Tantárgyi adatok'!B:F,4,FALSE),"nincs")</f>
        <v>BSc</v>
      </c>
      <c r="K150" t="str">
        <f>IFERROR(VLOOKUP($C150,'Tantárgyi adatok'!B:F,5,FALSE),"nincs")</f>
        <v>Computer Engineering</v>
      </c>
    </row>
    <row r="151" spans="1:11" x14ac:dyDescent="0.25">
      <c r="A151" t="s">
        <v>364</v>
      </c>
      <c r="B151" t="s">
        <v>365</v>
      </c>
      <c r="C151" t="s">
        <v>39</v>
      </c>
      <c r="D151" t="str">
        <f>IFERROR(VLOOKUP($C151,'Tantárgyi adatok'!B:F,2,FALSE),"nincs")</f>
        <v>Szakdolgozat</v>
      </c>
      <c r="E151" t="s">
        <v>868</v>
      </c>
      <c r="F151" t="s">
        <v>869</v>
      </c>
      <c r="G151" t="s">
        <v>81</v>
      </c>
      <c r="H151" t="str">
        <f>IFERROR(VLOOKUP($C151,'Tantárgyi adatok'!B:F,3,FALSE),"nincs")</f>
        <v>Mechatronikai mérnök</v>
      </c>
      <c r="I151" t="s">
        <v>150</v>
      </c>
      <c r="J151" t="str">
        <f>IFERROR(VLOOKUP($C151,'Tantárgyi adatok'!B:F,4,FALSE),"nincs")</f>
        <v>BSc</v>
      </c>
      <c r="K151" t="str">
        <f>IFERROR(VLOOKUP($C151,'Tantárgyi adatok'!B:F,5,FALSE),"nincs")</f>
        <v>Electrical Engineering</v>
      </c>
    </row>
    <row r="152" spans="1:11" x14ac:dyDescent="0.25">
      <c r="A152" t="s">
        <v>366</v>
      </c>
      <c r="B152" t="s">
        <v>367</v>
      </c>
      <c r="C152" t="s">
        <v>39</v>
      </c>
      <c r="D152" t="str">
        <f>IFERROR(VLOOKUP($C152,'Tantárgyi adatok'!B:F,2,FALSE),"nincs")</f>
        <v>Szakdolgozat</v>
      </c>
      <c r="E152" t="s">
        <v>870</v>
      </c>
      <c r="F152" t="s">
        <v>871</v>
      </c>
      <c r="G152" t="s">
        <v>81</v>
      </c>
      <c r="H152" t="str">
        <f>IFERROR(VLOOKUP($C152,'Tantárgyi adatok'!B:F,3,FALSE),"nincs")</f>
        <v>Mechatronikai mérnök</v>
      </c>
      <c r="I152" t="s">
        <v>150</v>
      </c>
      <c r="J152" t="str">
        <f>IFERROR(VLOOKUP($C152,'Tantárgyi adatok'!B:F,4,FALSE),"nincs")</f>
        <v>BSc</v>
      </c>
      <c r="K152" t="str">
        <f>IFERROR(VLOOKUP($C152,'Tantárgyi adatok'!B:F,5,FALSE),"nincs")</f>
        <v>Electrical Engineering</v>
      </c>
    </row>
    <row r="153" spans="1:11" x14ac:dyDescent="0.25">
      <c r="A153" t="s">
        <v>601</v>
      </c>
      <c r="B153" t="s">
        <v>602</v>
      </c>
      <c r="C153" t="s">
        <v>47</v>
      </c>
      <c r="D153" t="str">
        <f>IFERROR(VLOOKUP($C153,'Tantárgyi adatok'!B:F,2,FALSE),"nincs")</f>
        <v>Szakdolgozat</v>
      </c>
      <c r="E153" t="s">
        <v>1097</v>
      </c>
      <c r="F153" t="s">
        <v>1098</v>
      </c>
      <c r="G153" t="s">
        <v>81</v>
      </c>
      <c r="H153" t="str">
        <f>IFERROR(VLOOKUP($C153,'Tantárgyi adatok'!B:F,3,FALSE),"nincs")</f>
        <v>Mérnökinformatikus</v>
      </c>
      <c r="I153" t="s">
        <v>104</v>
      </c>
      <c r="J153" t="str">
        <f>IFERROR(VLOOKUP($C153,'Tantárgyi adatok'!B:F,4,FALSE),"nincs")</f>
        <v>BSc</v>
      </c>
      <c r="K153" t="str">
        <f>IFERROR(VLOOKUP($C153,'Tantárgyi adatok'!B:F,5,FALSE),"nincs")</f>
        <v>Computer Engineering</v>
      </c>
    </row>
    <row r="154" spans="1:11" x14ac:dyDescent="0.25">
      <c r="A154" t="s">
        <v>603</v>
      </c>
      <c r="B154" t="s">
        <v>604</v>
      </c>
      <c r="C154" t="s">
        <v>47</v>
      </c>
      <c r="D154" t="str">
        <f>IFERROR(VLOOKUP($C154,'Tantárgyi adatok'!B:F,2,FALSE),"nincs")</f>
        <v>Szakdolgozat</v>
      </c>
      <c r="E154" t="s">
        <v>1099</v>
      </c>
      <c r="F154" t="s">
        <v>1100</v>
      </c>
      <c r="G154" t="s">
        <v>81</v>
      </c>
      <c r="H154" t="str">
        <f>IFERROR(VLOOKUP($C154,'Tantárgyi adatok'!B:F,3,FALSE),"nincs")</f>
        <v>Mérnökinformatikus</v>
      </c>
      <c r="I154" t="s">
        <v>104</v>
      </c>
      <c r="J154" t="str">
        <f>IFERROR(VLOOKUP($C154,'Tantárgyi adatok'!B:F,4,FALSE),"nincs")</f>
        <v>BSc</v>
      </c>
      <c r="K154" t="str">
        <f>IFERROR(VLOOKUP($C154,'Tantárgyi adatok'!B:F,5,FALSE),"nincs")</f>
        <v>Computer Engineering</v>
      </c>
    </row>
    <row r="155" spans="1:11" x14ac:dyDescent="0.25">
      <c r="A155" t="s">
        <v>605</v>
      </c>
      <c r="B155" t="s">
        <v>606</v>
      </c>
      <c r="C155" t="s">
        <v>47</v>
      </c>
      <c r="D155" t="str">
        <f>IFERROR(VLOOKUP($C155,'Tantárgyi adatok'!B:F,2,FALSE),"nincs")</f>
        <v>Szakdolgozat</v>
      </c>
      <c r="E155" t="s">
        <v>1101</v>
      </c>
      <c r="F155" t="s">
        <v>1102</v>
      </c>
      <c r="G155" t="s">
        <v>81</v>
      </c>
      <c r="H155" t="str">
        <f>IFERROR(VLOOKUP($C155,'Tantárgyi adatok'!B:F,3,FALSE),"nincs")</f>
        <v>Mérnökinformatikus</v>
      </c>
      <c r="I155" t="s">
        <v>133</v>
      </c>
      <c r="J155" t="str">
        <f>IFERROR(VLOOKUP($C155,'Tantárgyi adatok'!B:F,4,FALSE),"nincs")</f>
        <v>BSc</v>
      </c>
      <c r="K155" t="str">
        <f>IFERROR(VLOOKUP($C155,'Tantárgyi adatok'!B:F,5,FALSE),"nincs")</f>
        <v>Computer Engineering</v>
      </c>
    </row>
    <row r="156" spans="1:11" x14ac:dyDescent="0.25">
      <c r="A156" t="s">
        <v>607</v>
      </c>
      <c r="B156" t="s">
        <v>608</v>
      </c>
      <c r="C156" t="s">
        <v>47</v>
      </c>
      <c r="D156" t="str">
        <f>IFERROR(VLOOKUP($C156,'Tantárgyi adatok'!B:F,2,FALSE),"nincs")</f>
        <v>Szakdolgozat</v>
      </c>
      <c r="E156" t="s">
        <v>1103</v>
      </c>
      <c r="F156" t="s">
        <v>1104</v>
      </c>
      <c r="G156" t="s">
        <v>81</v>
      </c>
      <c r="H156" t="str">
        <f>IFERROR(VLOOKUP($C156,'Tantárgyi adatok'!B:F,3,FALSE),"nincs")</f>
        <v>Mérnökinformatikus</v>
      </c>
      <c r="I156" t="s">
        <v>132</v>
      </c>
      <c r="J156" t="str">
        <f>IFERROR(VLOOKUP($C156,'Tantárgyi adatok'!B:F,4,FALSE),"nincs")</f>
        <v>BSc</v>
      </c>
      <c r="K156" t="str">
        <f>IFERROR(VLOOKUP($C156,'Tantárgyi adatok'!B:F,5,FALSE),"nincs")</f>
        <v>Computer Engineering</v>
      </c>
    </row>
    <row r="157" spans="1:11" x14ac:dyDescent="0.25">
      <c r="A157" t="s">
        <v>445</v>
      </c>
      <c r="B157" t="s">
        <v>446</v>
      </c>
      <c r="C157" t="s">
        <v>43</v>
      </c>
      <c r="D157" t="str">
        <f>IFERROR(VLOOKUP($C157,'Tantárgyi adatok'!B:F,2,FALSE),"nincs")</f>
        <v>Szakdolgozat</v>
      </c>
      <c r="E157" t="s">
        <v>944</v>
      </c>
      <c r="F157" t="s">
        <v>945</v>
      </c>
      <c r="G157" t="s">
        <v>81</v>
      </c>
      <c r="H157" t="str">
        <f>IFERROR(VLOOKUP($C157,'Tantárgyi adatok'!B:F,3,FALSE),"nincs")</f>
        <v>Villamosmérnök</v>
      </c>
      <c r="I157" t="s">
        <v>141</v>
      </c>
      <c r="J157" t="str">
        <f>IFERROR(VLOOKUP($C157,'Tantárgyi adatok'!B:F,4,FALSE),"nincs")</f>
        <v>BSc</v>
      </c>
      <c r="K157" t="str">
        <f>IFERROR(VLOOKUP($C157,'Tantárgyi adatok'!B:F,5,FALSE),"nincs")</f>
        <v>Electrical Engineering</v>
      </c>
    </row>
    <row r="158" spans="1:11" x14ac:dyDescent="0.25">
      <c r="A158" t="s">
        <v>609</v>
      </c>
      <c r="B158" t="s">
        <v>610</v>
      </c>
      <c r="C158" t="s">
        <v>47</v>
      </c>
      <c r="D158" t="str">
        <f>IFERROR(VLOOKUP($C158,'Tantárgyi adatok'!B:F,2,FALSE),"nincs")</f>
        <v>Szakdolgozat</v>
      </c>
      <c r="E158" t="s">
        <v>1105</v>
      </c>
      <c r="F158" t="s">
        <v>1106</v>
      </c>
      <c r="G158" t="s">
        <v>81</v>
      </c>
      <c r="H158" t="str">
        <f>IFERROR(VLOOKUP($C158,'Tantárgyi adatok'!B:F,3,FALSE),"nincs")</f>
        <v>Mérnökinformatikus</v>
      </c>
      <c r="I158" t="s">
        <v>141</v>
      </c>
      <c r="J158" t="str">
        <f>IFERROR(VLOOKUP($C158,'Tantárgyi adatok'!B:F,4,FALSE),"nincs")</f>
        <v>BSc</v>
      </c>
      <c r="K158" t="str">
        <f>IFERROR(VLOOKUP($C158,'Tantárgyi adatok'!B:F,5,FALSE),"nincs")</f>
        <v>Computer Engineering</v>
      </c>
    </row>
    <row r="159" spans="1:11" x14ac:dyDescent="0.25">
      <c r="A159" t="s">
        <v>409</v>
      </c>
      <c r="B159" t="s">
        <v>410</v>
      </c>
      <c r="C159" t="s">
        <v>41</v>
      </c>
      <c r="D159" t="str">
        <f>IFERROR(VLOOKUP($C159,'Tantárgyi adatok'!B:F,2,FALSE),"nincs")</f>
        <v>Szakdolgozat</v>
      </c>
      <c r="E159" t="s">
        <v>910</v>
      </c>
      <c r="F159" t="s">
        <v>911</v>
      </c>
      <c r="G159" t="s">
        <v>81</v>
      </c>
      <c r="H159" t="str">
        <f>IFERROR(VLOOKUP($C159,'Tantárgyi adatok'!B:F,3,FALSE),"nincs")</f>
        <v>Villamosmérnök</v>
      </c>
      <c r="I159" t="s">
        <v>141</v>
      </c>
      <c r="J159" t="str">
        <f>IFERROR(VLOOKUP($C159,'Tantárgyi adatok'!B:F,4,FALSE),"nincs")</f>
        <v>BSc</v>
      </c>
      <c r="K159" t="str">
        <f>IFERROR(VLOOKUP($C159,'Tantárgyi adatok'!B:F,5,FALSE),"nincs")</f>
        <v>Electrical Engineering</v>
      </c>
    </row>
    <row r="160" spans="1:11" x14ac:dyDescent="0.25">
      <c r="A160" t="s">
        <v>216</v>
      </c>
      <c r="B160" t="s">
        <v>217</v>
      </c>
      <c r="C160" t="s">
        <v>11</v>
      </c>
      <c r="D160" t="str">
        <f>IFERROR(VLOOKUP($C160,'Tantárgyi adatok'!B:F,2,FALSE),"nincs")</f>
        <v>Diplomatervezés</v>
      </c>
      <c r="E160" t="s">
        <v>743</v>
      </c>
      <c r="F160" t="s">
        <v>744</v>
      </c>
      <c r="G160" t="s">
        <v>81</v>
      </c>
      <c r="H160" t="str">
        <f>IFERROR(VLOOKUP($C160,'Tantárgyi adatok'!B:F,3,FALSE),"nincs")</f>
        <v>Mérnökinformatikus</v>
      </c>
      <c r="I160" t="s">
        <v>133</v>
      </c>
      <c r="J160" t="str">
        <f>IFERROR(VLOOKUP($C160,'Tantárgyi adatok'!B:F,4,FALSE),"nincs")</f>
        <v>MSc</v>
      </c>
      <c r="K160" t="str">
        <f>IFERROR(VLOOKUP($C160,'Tantárgyi adatok'!B:F,5,FALSE),"nincs")</f>
        <v>Computer Engineering</v>
      </c>
    </row>
    <row r="161" spans="1:11" x14ac:dyDescent="0.25">
      <c r="A161" t="s">
        <v>411</v>
      </c>
      <c r="B161" t="s">
        <v>412</v>
      </c>
      <c r="C161" t="s">
        <v>41</v>
      </c>
      <c r="D161" t="str">
        <f>IFERROR(VLOOKUP($C161,'Tantárgyi adatok'!B:F,2,FALSE),"nincs")</f>
        <v>Szakdolgozat</v>
      </c>
      <c r="E161" t="s">
        <v>912</v>
      </c>
      <c r="F161" t="s">
        <v>913</v>
      </c>
      <c r="G161" t="s">
        <v>81</v>
      </c>
      <c r="H161" t="str">
        <f>IFERROR(VLOOKUP($C161,'Tantárgyi adatok'!B:F,3,FALSE),"nincs")</f>
        <v>Villamosmérnök</v>
      </c>
      <c r="I161" t="s">
        <v>304</v>
      </c>
      <c r="J161" t="str">
        <f>IFERROR(VLOOKUP($C161,'Tantárgyi adatok'!B:F,4,FALSE),"nincs")</f>
        <v>BSc</v>
      </c>
      <c r="K161" t="str">
        <f>IFERROR(VLOOKUP($C161,'Tantárgyi adatok'!B:F,5,FALSE),"nincs")</f>
        <v>Electrical Engineering</v>
      </c>
    </row>
    <row r="162" spans="1:11" x14ac:dyDescent="0.25">
      <c r="A162" t="s">
        <v>479</v>
      </c>
      <c r="B162" t="s">
        <v>480</v>
      </c>
      <c r="C162" t="s">
        <v>45</v>
      </c>
      <c r="D162" t="str">
        <f>IFERROR(VLOOKUP($C162,'Tantárgyi adatok'!B:F,2,FALSE),"nincs")</f>
        <v>Szakdolgozat</v>
      </c>
      <c r="E162" t="s">
        <v>978</v>
      </c>
      <c r="F162" t="s">
        <v>979</v>
      </c>
      <c r="G162" t="s">
        <v>81</v>
      </c>
      <c r="H162" t="str">
        <f>IFERROR(VLOOKUP($C162,'Tantárgyi adatok'!B:F,3,FALSE),"nincs")</f>
        <v>Mérnökinformatikus</v>
      </c>
      <c r="I162" t="s">
        <v>202</v>
      </c>
      <c r="J162" t="str">
        <f>IFERROR(VLOOKUP($C162,'Tantárgyi adatok'!B:F,4,FALSE),"nincs")</f>
        <v>BSc</v>
      </c>
      <c r="K162" t="str">
        <f>IFERROR(VLOOKUP($C162,'Tantárgyi adatok'!B:F,5,FALSE),"nincs")</f>
        <v>Computer Engineering</v>
      </c>
    </row>
    <row r="163" spans="1:11" x14ac:dyDescent="0.25">
      <c r="A163" t="s">
        <v>481</v>
      </c>
      <c r="B163" t="s">
        <v>482</v>
      </c>
      <c r="C163" t="s">
        <v>45</v>
      </c>
      <c r="D163" t="str">
        <f>IFERROR(VLOOKUP($C163,'Tantárgyi adatok'!B:F,2,FALSE),"nincs")</f>
        <v>Szakdolgozat</v>
      </c>
      <c r="E163" t="s">
        <v>980</v>
      </c>
      <c r="F163" t="s">
        <v>981</v>
      </c>
      <c r="G163" t="s">
        <v>81</v>
      </c>
      <c r="H163" t="str">
        <f>IFERROR(VLOOKUP($C163,'Tantárgyi adatok'!B:F,3,FALSE),"nincs")</f>
        <v>Mérnökinformatikus</v>
      </c>
      <c r="I163" t="s">
        <v>181</v>
      </c>
      <c r="J163" t="str">
        <f>IFERROR(VLOOKUP($C163,'Tantárgyi adatok'!B:F,4,FALSE),"nincs")</f>
        <v>BSc</v>
      </c>
      <c r="K163" t="str">
        <f>IFERROR(VLOOKUP($C163,'Tantárgyi adatok'!B:F,5,FALSE),"nincs")</f>
        <v>Computer Engineering</v>
      </c>
    </row>
    <row r="164" spans="1:11" x14ac:dyDescent="0.25">
      <c r="A164" t="s">
        <v>300</v>
      </c>
      <c r="B164" t="s">
        <v>301</v>
      </c>
      <c r="C164" t="s">
        <v>15</v>
      </c>
      <c r="D164" t="str">
        <f>IFERROR(VLOOKUP($C164,'Tantárgyi adatok'!B:F,2,FALSE),"nincs")</f>
        <v>Diplomatervezés</v>
      </c>
      <c r="E164" t="s">
        <v>816</v>
      </c>
      <c r="F164" t="s">
        <v>817</v>
      </c>
      <c r="G164" t="s">
        <v>81</v>
      </c>
      <c r="H164" t="str">
        <f>IFERROR(VLOOKUP($C164,'Tantárgyi adatok'!B:F,3,FALSE),"nincs")</f>
        <v>Villamosmérnök</v>
      </c>
      <c r="I164" t="s">
        <v>205</v>
      </c>
      <c r="J164" t="str">
        <f>IFERROR(VLOOKUP($C164,'Tantárgyi adatok'!B:F,4,FALSE),"nincs")</f>
        <v>MSc</v>
      </c>
      <c r="K164" t="str">
        <f>IFERROR(VLOOKUP($C164,'Tantárgyi adatok'!B:F,5,FALSE),"nincs")</f>
        <v>Electrical Engineering</v>
      </c>
    </row>
    <row r="165" spans="1:11" x14ac:dyDescent="0.25">
      <c r="A165" t="s">
        <v>611</v>
      </c>
      <c r="B165" t="s">
        <v>612</v>
      </c>
      <c r="C165" t="s">
        <v>47</v>
      </c>
      <c r="D165" t="str">
        <f>IFERROR(VLOOKUP($C165,'Tantárgyi adatok'!B:F,2,FALSE),"nincs")</f>
        <v>Szakdolgozat</v>
      </c>
      <c r="E165" t="s">
        <v>1107</v>
      </c>
      <c r="F165" t="s">
        <v>1108</v>
      </c>
      <c r="G165" t="s">
        <v>81</v>
      </c>
      <c r="H165" t="str">
        <f>IFERROR(VLOOKUP($C165,'Tantárgyi adatok'!B:F,3,FALSE),"nincs")</f>
        <v>Mérnökinformatikus</v>
      </c>
      <c r="I165" t="s">
        <v>181</v>
      </c>
      <c r="J165" t="str">
        <f>IFERROR(VLOOKUP($C165,'Tantárgyi adatok'!B:F,4,FALSE),"nincs")</f>
        <v>BSc</v>
      </c>
      <c r="K165" t="str">
        <f>IFERROR(VLOOKUP($C165,'Tantárgyi adatok'!B:F,5,FALSE),"nincs")</f>
        <v>Computer Engineering</v>
      </c>
    </row>
    <row r="166" spans="1:11" x14ac:dyDescent="0.25">
      <c r="A166" t="s">
        <v>218</v>
      </c>
      <c r="B166" t="s">
        <v>219</v>
      </c>
      <c r="C166" t="s">
        <v>11</v>
      </c>
      <c r="D166" t="str">
        <f>IFERROR(VLOOKUP($C166,'Tantárgyi adatok'!B:F,2,FALSE),"nincs")</f>
        <v>Diplomatervezés</v>
      </c>
      <c r="E166" t="s">
        <v>745</v>
      </c>
      <c r="F166" t="s">
        <v>746</v>
      </c>
      <c r="G166" t="s">
        <v>81</v>
      </c>
      <c r="H166" t="str">
        <f>IFERROR(VLOOKUP($C166,'Tantárgyi adatok'!B:F,3,FALSE),"nincs")</f>
        <v>Mérnökinformatikus</v>
      </c>
      <c r="I166" t="s">
        <v>133</v>
      </c>
      <c r="J166" t="str">
        <f>IFERROR(VLOOKUP($C166,'Tantárgyi adatok'!B:F,4,FALSE),"nincs")</f>
        <v>MSc</v>
      </c>
      <c r="K166" t="str">
        <f>IFERROR(VLOOKUP($C166,'Tantárgyi adatok'!B:F,5,FALSE),"nincs")</f>
        <v>Computer Engineering</v>
      </c>
    </row>
    <row r="167" spans="1:11" x14ac:dyDescent="0.25">
      <c r="A167" t="s">
        <v>483</v>
      </c>
      <c r="B167" t="s">
        <v>484</v>
      </c>
      <c r="C167" t="s">
        <v>45</v>
      </c>
      <c r="D167" t="str">
        <f>IFERROR(VLOOKUP($C167,'Tantárgyi adatok'!B:F,2,FALSE),"nincs")</f>
        <v>Szakdolgozat</v>
      </c>
      <c r="E167" t="s">
        <v>982</v>
      </c>
      <c r="F167" t="s">
        <v>983</v>
      </c>
      <c r="G167" t="s">
        <v>81</v>
      </c>
      <c r="H167" t="str">
        <f>IFERROR(VLOOKUP($C167,'Tantárgyi adatok'!B:F,3,FALSE),"nincs")</f>
        <v>Mérnökinformatikus</v>
      </c>
      <c r="I167" t="s">
        <v>181</v>
      </c>
      <c r="J167" t="str">
        <f>IFERROR(VLOOKUP($C167,'Tantárgyi adatok'!B:F,4,FALSE),"nincs")</f>
        <v>BSc</v>
      </c>
      <c r="K167" t="str">
        <f>IFERROR(VLOOKUP($C167,'Tantárgyi adatok'!B:F,5,FALSE),"nincs")</f>
        <v>Computer Engineering</v>
      </c>
    </row>
    <row r="168" spans="1:11" x14ac:dyDescent="0.25">
      <c r="A168" t="s">
        <v>1186</v>
      </c>
      <c r="B168" t="s">
        <v>1187</v>
      </c>
      <c r="C168" t="s">
        <v>47</v>
      </c>
      <c r="D168" t="str">
        <f>IFERROR(VLOOKUP($C168,'Tantárgyi adatok'!B:F,2,FALSE),"nincs")</f>
        <v>Szakdolgozat</v>
      </c>
      <c r="E168" t="s">
        <v>1356</v>
      </c>
      <c r="F168" t="s">
        <v>1357</v>
      </c>
      <c r="G168" t="s">
        <v>81</v>
      </c>
      <c r="H168" t="str">
        <f>IFERROR(VLOOKUP($C168,'Tantárgyi adatok'!B:F,3,FALSE),"nincs")</f>
        <v>Mérnökinformatikus</v>
      </c>
      <c r="I168" t="s">
        <v>226</v>
      </c>
      <c r="J168" t="str">
        <f>IFERROR(VLOOKUP($C168,'Tantárgyi adatok'!B:F,4,FALSE),"nincs")</f>
        <v>BSc</v>
      </c>
      <c r="K168" t="str">
        <f>IFERROR(VLOOKUP($C168,'Tantárgyi adatok'!B:F,5,FALSE),"nincs")</f>
        <v>Computer Engineering</v>
      </c>
    </row>
    <row r="169" spans="1:11" x14ac:dyDescent="0.25">
      <c r="A169" t="s">
        <v>613</v>
      </c>
      <c r="B169" t="s">
        <v>614</v>
      </c>
      <c r="C169" t="s">
        <v>47</v>
      </c>
      <c r="D169" t="str">
        <f>IFERROR(VLOOKUP($C169,'Tantárgyi adatok'!B:F,2,FALSE),"nincs")</f>
        <v>Szakdolgozat</v>
      </c>
      <c r="E169" t="s">
        <v>1109</v>
      </c>
      <c r="F169" t="s">
        <v>1110</v>
      </c>
      <c r="G169" t="s">
        <v>81</v>
      </c>
      <c r="H169" t="str">
        <f>IFERROR(VLOOKUP($C169,'Tantárgyi adatok'!B:F,3,FALSE),"nincs")</f>
        <v>Mérnökinformatikus</v>
      </c>
      <c r="I169" t="s">
        <v>202</v>
      </c>
      <c r="J169" t="str">
        <f>IFERROR(VLOOKUP($C169,'Tantárgyi adatok'!B:F,4,FALSE),"nincs")</f>
        <v>BSc</v>
      </c>
      <c r="K169" t="str">
        <f>IFERROR(VLOOKUP($C169,'Tantárgyi adatok'!B:F,5,FALSE),"nincs")</f>
        <v>Computer Engineering</v>
      </c>
    </row>
    <row r="170" spans="1:11" x14ac:dyDescent="0.25">
      <c r="A170" t="s">
        <v>485</v>
      </c>
      <c r="B170" t="s">
        <v>486</v>
      </c>
      <c r="C170" t="s">
        <v>45</v>
      </c>
      <c r="D170" t="str">
        <f>IFERROR(VLOOKUP($C170,'Tantárgyi adatok'!B:F,2,FALSE),"nincs")</f>
        <v>Szakdolgozat</v>
      </c>
      <c r="E170" t="s">
        <v>984</v>
      </c>
      <c r="F170" t="s">
        <v>985</v>
      </c>
      <c r="G170" t="s">
        <v>81</v>
      </c>
      <c r="H170" t="str">
        <f>IFERROR(VLOOKUP($C170,'Tantárgyi adatok'!B:F,3,FALSE),"nincs")</f>
        <v>Mérnökinformatikus</v>
      </c>
      <c r="I170" t="s">
        <v>487</v>
      </c>
      <c r="J170" t="str">
        <f>IFERROR(VLOOKUP($C170,'Tantárgyi adatok'!B:F,4,FALSE),"nincs")</f>
        <v>BSc</v>
      </c>
      <c r="K170" t="str">
        <f>IFERROR(VLOOKUP($C170,'Tantárgyi adatok'!B:F,5,FALSE),"nincs")</f>
        <v>Computer Engineering</v>
      </c>
    </row>
    <row r="171" spans="1:11" x14ac:dyDescent="0.25">
      <c r="A171" t="s">
        <v>220</v>
      </c>
      <c r="B171" t="s">
        <v>221</v>
      </c>
      <c r="C171" t="s">
        <v>11</v>
      </c>
      <c r="D171" t="str">
        <f>IFERROR(VLOOKUP($C171,'Tantárgyi adatok'!B:F,2,FALSE),"nincs")</f>
        <v>Diplomatervezés</v>
      </c>
      <c r="E171" t="s">
        <v>747</v>
      </c>
      <c r="F171" t="s">
        <v>748</v>
      </c>
      <c r="G171" t="s">
        <v>81</v>
      </c>
      <c r="H171" t="str">
        <f>IFERROR(VLOOKUP($C171,'Tantárgyi adatok'!B:F,3,FALSE),"nincs")</f>
        <v>Mérnökinformatikus</v>
      </c>
      <c r="I171" t="s">
        <v>133</v>
      </c>
      <c r="J171" t="str">
        <f>IFERROR(VLOOKUP($C171,'Tantárgyi adatok'!B:F,4,FALSE),"nincs")</f>
        <v>MSc</v>
      </c>
      <c r="K171" t="str">
        <f>IFERROR(VLOOKUP($C171,'Tantárgyi adatok'!B:F,5,FALSE),"nincs")</f>
        <v>Computer Engineering</v>
      </c>
    </row>
    <row r="172" spans="1:11" x14ac:dyDescent="0.25">
      <c r="A172" t="s">
        <v>413</v>
      </c>
      <c r="B172" t="s">
        <v>414</v>
      </c>
      <c r="C172" t="s">
        <v>41</v>
      </c>
      <c r="D172" t="str">
        <f>IFERROR(VLOOKUP($C172,'Tantárgyi adatok'!B:F,2,FALSE),"nincs")</f>
        <v>Szakdolgozat</v>
      </c>
      <c r="E172" t="s">
        <v>914</v>
      </c>
      <c r="F172" t="s">
        <v>915</v>
      </c>
      <c r="G172" t="s">
        <v>81</v>
      </c>
      <c r="H172" t="str">
        <f>IFERROR(VLOOKUP($C172,'Tantárgyi adatok'!B:F,3,FALSE),"nincs")</f>
        <v>Villamosmérnök</v>
      </c>
      <c r="I172" t="s">
        <v>205</v>
      </c>
      <c r="J172" t="str">
        <f>IFERROR(VLOOKUP($C172,'Tantárgyi adatok'!B:F,4,FALSE),"nincs")</f>
        <v>BSc</v>
      </c>
      <c r="K172" t="str">
        <f>IFERROR(VLOOKUP($C172,'Tantárgyi adatok'!B:F,5,FALSE),"nincs")</f>
        <v>Electrical Engineering</v>
      </c>
    </row>
    <row r="173" spans="1:11" x14ac:dyDescent="0.25">
      <c r="A173" t="s">
        <v>415</v>
      </c>
      <c r="B173" t="s">
        <v>416</v>
      </c>
      <c r="C173" t="s">
        <v>41</v>
      </c>
      <c r="D173" t="str">
        <f>IFERROR(VLOOKUP($C173,'Tantárgyi adatok'!B:F,2,FALSE),"nincs")</f>
        <v>Szakdolgozat</v>
      </c>
      <c r="E173" t="s">
        <v>916</v>
      </c>
      <c r="F173" t="s">
        <v>917</v>
      </c>
      <c r="G173" t="s">
        <v>81</v>
      </c>
      <c r="H173" t="str">
        <f>IFERROR(VLOOKUP($C173,'Tantárgyi adatok'!B:F,3,FALSE),"nincs")</f>
        <v>Villamosmérnök</v>
      </c>
      <c r="I173" t="s">
        <v>205</v>
      </c>
      <c r="J173" t="str">
        <f>IFERROR(VLOOKUP($C173,'Tantárgyi adatok'!B:F,4,FALSE),"nincs")</f>
        <v>BSc</v>
      </c>
      <c r="K173" t="str">
        <f>IFERROR(VLOOKUP($C173,'Tantárgyi adatok'!B:F,5,FALSE),"nincs")</f>
        <v>Electrical Engineering</v>
      </c>
    </row>
    <row r="174" spans="1:11" x14ac:dyDescent="0.25">
      <c r="A174" t="s">
        <v>1208</v>
      </c>
      <c r="B174" t="s">
        <v>1209</v>
      </c>
      <c r="C174" t="s">
        <v>47</v>
      </c>
      <c r="D174" t="str">
        <f>IFERROR(VLOOKUP($C174,'Tantárgyi adatok'!B:F,2,FALSE),"nincs")</f>
        <v>Szakdolgozat</v>
      </c>
      <c r="E174" t="s">
        <v>1358</v>
      </c>
      <c r="F174" t="s">
        <v>1359</v>
      </c>
      <c r="G174" t="s">
        <v>791</v>
      </c>
      <c r="H174" t="str">
        <f>IFERROR(VLOOKUP($C174,'Tantárgyi adatok'!B:F,3,FALSE),"nincs")</f>
        <v>Mérnökinformatikus</v>
      </c>
      <c r="I174" t="s">
        <v>141</v>
      </c>
      <c r="J174" t="str">
        <f>IFERROR(VLOOKUP($C174,'Tantárgyi adatok'!B:F,4,FALSE),"nincs")</f>
        <v>BSc</v>
      </c>
      <c r="K174" t="str">
        <f>IFERROR(VLOOKUP($C174,'Tantárgyi adatok'!B:F,5,FALSE),"nincs")</f>
        <v>Computer Engineering</v>
      </c>
    </row>
    <row r="175" spans="1:11" x14ac:dyDescent="0.25">
      <c r="A175" t="s">
        <v>302</v>
      </c>
      <c r="B175" t="s">
        <v>303</v>
      </c>
      <c r="C175" t="s">
        <v>15</v>
      </c>
      <c r="D175" t="str">
        <f>IFERROR(VLOOKUP($C175,'Tantárgyi adatok'!B:F,2,FALSE),"nincs")</f>
        <v>Diplomatervezés</v>
      </c>
      <c r="E175" t="s">
        <v>818</v>
      </c>
      <c r="F175" t="s">
        <v>819</v>
      </c>
      <c r="G175" t="s">
        <v>81</v>
      </c>
      <c r="H175" t="str">
        <f>IFERROR(VLOOKUP($C175,'Tantárgyi adatok'!B:F,3,FALSE),"nincs")</f>
        <v>Villamosmérnök</v>
      </c>
      <c r="I175" t="s">
        <v>304</v>
      </c>
      <c r="J175" t="str">
        <f>IFERROR(VLOOKUP($C175,'Tantárgyi adatok'!B:F,4,FALSE),"nincs")</f>
        <v>MSc</v>
      </c>
      <c r="K175" t="str">
        <f>IFERROR(VLOOKUP($C175,'Tantárgyi adatok'!B:F,5,FALSE),"nincs")</f>
        <v>Electrical Engineering</v>
      </c>
    </row>
    <row r="176" spans="1:11" x14ac:dyDescent="0.25">
      <c r="A176" t="s">
        <v>305</v>
      </c>
      <c r="B176" t="s">
        <v>306</v>
      </c>
      <c r="C176" t="s">
        <v>15</v>
      </c>
      <c r="D176" t="str">
        <f>IFERROR(VLOOKUP($C176,'Tantárgyi adatok'!B:F,2,FALSE),"nincs")</f>
        <v>Diplomatervezés</v>
      </c>
      <c r="E176" t="s">
        <v>820</v>
      </c>
      <c r="F176" t="s">
        <v>821</v>
      </c>
      <c r="G176" t="s">
        <v>81</v>
      </c>
      <c r="H176" t="str">
        <f>IFERROR(VLOOKUP($C176,'Tantárgyi adatok'!B:F,3,FALSE),"nincs")</f>
        <v>Villamosmérnök</v>
      </c>
      <c r="I176" t="s">
        <v>307</v>
      </c>
      <c r="J176" t="str">
        <f>IFERROR(VLOOKUP($C176,'Tantárgyi adatok'!B:F,4,FALSE),"nincs")</f>
        <v>MSc</v>
      </c>
      <c r="K176" t="str">
        <f>IFERROR(VLOOKUP($C176,'Tantárgyi adatok'!B:F,5,FALSE),"nincs")</f>
        <v>Electrical Engineering</v>
      </c>
    </row>
    <row r="177" spans="1:11" x14ac:dyDescent="0.25">
      <c r="A177" t="s">
        <v>417</v>
      </c>
      <c r="B177" t="s">
        <v>418</v>
      </c>
      <c r="C177" t="s">
        <v>41</v>
      </c>
      <c r="D177" t="str">
        <f>IFERROR(VLOOKUP($C177,'Tantárgyi adatok'!B:F,2,FALSE),"nincs")</f>
        <v>Szakdolgozat</v>
      </c>
      <c r="E177" t="s">
        <v>918</v>
      </c>
      <c r="F177" t="s">
        <v>919</v>
      </c>
      <c r="G177" t="s">
        <v>81</v>
      </c>
      <c r="H177" t="str">
        <f>IFERROR(VLOOKUP($C177,'Tantárgyi adatok'!B:F,3,FALSE),"nincs")</f>
        <v>Villamosmérnök</v>
      </c>
      <c r="I177" t="s">
        <v>348</v>
      </c>
      <c r="J177" t="str">
        <f>IFERROR(VLOOKUP($C177,'Tantárgyi adatok'!B:F,4,FALSE),"nincs")</f>
        <v>BSc</v>
      </c>
      <c r="K177" t="str">
        <f>IFERROR(VLOOKUP($C177,'Tantárgyi adatok'!B:F,5,FALSE),"nincs")</f>
        <v>Electrical Engineering</v>
      </c>
    </row>
    <row r="178" spans="1:11" x14ac:dyDescent="0.25">
      <c r="A178" t="s">
        <v>339</v>
      </c>
      <c r="B178" t="s">
        <v>340</v>
      </c>
      <c r="C178" t="s">
        <v>19</v>
      </c>
      <c r="D178" t="str">
        <f>IFERROR(VLOOKUP($C178,'Tantárgyi adatok'!B:F,2,FALSE),"nincs")</f>
        <v>Diplomatervezés</v>
      </c>
      <c r="E178" t="s">
        <v>848</v>
      </c>
      <c r="F178" t="s">
        <v>849</v>
      </c>
      <c r="G178" t="s">
        <v>81</v>
      </c>
      <c r="H178" t="str">
        <f>IFERROR(VLOOKUP($C178,'Tantárgyi adatok'!B:F,3,FALSE),"nincs")</f>
        <v>Mechatronikai mérnök</v>
      </c>
      <c r="I178" t="s">
        <v>144</v>
      </c>
      <c r="J178" t="str">
        <f>IFERROR(VLOOKUP($C178,'Tantárgyi adatok'!B:F,4,FALSE),"nincs")</f>
        <v>MSc</v>
      </c>
      <c r="K178" t="str">
        <f>IFERROR(VLOOKUP($C178,'Tantárgyi adatok'!B:F,5,FALSE),"nincs")</f>
        <v>Mechatronic Engineering</v>
      </c>
    </row>
    <row r="179" spans="1:11" x14ac:dyDescent="0.25">
      <c r="A179" t="s">
        <v>308</v>
      </c>
      <c r="B179" t="s">
        <v>309</v>
      </c>
      <c r="C179" t="s">
        <v>15</v>
      </c>
      <c r="D179" t="str">
        <f>IFERROR(VLOOKUP($C179,'Tantárgyi adatok'!B:F,2,FALSE),"nincs")</f>
        <v>Diplomatervezés</v>
      </c>
      <c r="E179" t="s">
        <v>822</v>
      </c>
      <c r="F179" t="s">
        <v>823</v>
      </c>
      <c r="G179" t="s">
        <v>81</v>
      </c>
      <c r="H179" t="str">
        <f>IFERROR(VLOOKUP($C179,'Tantárgyi adatok'!B:F,3,FALSE),"nincs")</f>
        <v>Villamosmérnök</v>
      </c>
      <c r="I179" t="s">
        <v>310</v>
      </c>
      <c r="J179" t="str">
        <f>IFERROR(VLOOKUP($C179,'Tantárgyi adatok'!B:F,4,FALSE),"nincs")</f>
        <v>MSc</v>
      </c>
      <c r="K179" t="str">
        <f>IFERROR(VLOOKUP($C179,'Tantárgyi adatok'!B:F,5,FALSE),"nincs")</f>
        <v>Electrical Engineering</v>
      </c>
    </row>
    <row r="180" spans="1:11" x14ac:dyDescent="0.25">
      <c r="A180" t="s">
        <v>222</v>
      </c>
      <c r="B180" t="s">
        <v>223</v>
      </c>
      <c r="C180" t="s">
        <v>11</v>
      </c>
      <c r="D180" t="str">
        <f>IFERROR(VLOOKUP($C180,'Tantárgyi adatok'!B:F,2,FALSE),"nincs")</f>
        <v>Diplomatervezés</v>
      </c>
      <c r="E180" t="s">
        <v>749</v>
      </c>
      <c r="F180" t="s">
        <v>750</v>
      </c>
      <c r="G180" t="s">
        <v>81</v>
      </c>
      <c r="H180" t="str">
        <f>IFERROR(VLOOKUP($C180,'Tantárgyi adatok'!B:F,3,FALSE),"nincs")</f>
        <v>Mérnökinformatikus</v>
      </c>
      <c r="I180" t="s">
        <v>133</v>
      </c>
      <c r="J180" t="str">
        <f>IFERROR(VLOOKUP($C180,'Tantárgyi adatok'!B:F,4,FALSE),"nincs")</f>
        <v>MSc</v>
      </c>
      <c r="K180" t="str">
        <f>IFERROR(VLOOKUP($C180,'Tantárgyi adatok'!B:F,5,FALSE),"nincs")</f>
        <v>Computer Engineering</v>
      </c>
    </row>
    <row r="181" spans="1:11" x14ac:dyDescent="0.25">
      <c r="A181" t="s">
        <v>615</v>
      </c>
      <c r="B181" t="s">
        <v>616</v>
      </c>
      <c r="C181" t="s">
        <v>47</v>
      </c>
      <c r="D181" t="str">
        <f>IFERROR(VLOOKUP($C181,'Tantárgyi adatok'!B:F,2,FALSE),"nincs")</f>
        <v>Szakdolgozat</v>
      </c>
      <c r="E181" t="s">
        <v>1111</v>
      </c>
      <c r="F181" t="s">
        <v>1112</v>
      </c>
      <c r="G181" t="s">
        <v>81</v>
      </c>
      <c r="H181" t="str">
        <f>IFERROR(VLOOKUP($C181,'Tantárgyi adatok'!B:F,3,FALSE),"nincs")</f>
        <v>Mérnökinformatikus</v>
      </c>
      <c r="I181" t="s">
        <v>136</v>
      </c>
      <c r="J181" t="str">
        <f>IFERROR(VLOOKUP($C181,'Tantárgyi adatok'!B:F,4,FALSE),"nincs")</f>
        <v>BSc</v>
      </c>
      <c r="K181" t="str">
        <f>IFERROR(VLOOKUP($C181,'Tantárgyi adatok'!B:F,5,FALSE),"nincs")</f>
        <v>Computer Engineering</v>
      </c>
    </row>
    <row r="182" spans="1:11" x14ac:dyDescent="0.25">
      <c r="A182" t="s">
        <v>1180</v>
      </c>
      <c r="B182" t="s">
        <v>1181</v>
      </c>
      <c r="C182" t="s">
        <v>43</v>
      </c>
      <c r="D182" t="str">
        <f>IFERROR(VLOOKUP($C182,'Tantárgyi adatok'!B:F,2,FALSE),"nincs")</f>
        <v>Szakdolgozat</v>
      </c>
      <c r="E182" t="s">
        <v>1360</v>
      </c>
      <c r="F182" t="s">
        <v>1361</v>
      </c>
      <c r="G182" t="s">
        <v>81</v>
      </c>
      <c r="H182" t="str">
        <f>IFERROR(VLOOKUP($C182,'Tantárgyi adatok'!B:F,3,FALSE),"nincs")</f>
        <v>Villamosmérnök</v>
      </c>
      <c r="I182" t="s">
        <v>313</v>
      </c>
      <c r="J182" t="str">
        <f>IFERROR(VLOOKUP($C182,'Tantárgyi adatok'!B:F,4,FALSE),"nincs")</f>
        <v>BSc</v>
      </c>
      <c r="K182" t="str">
        <f>IFERROR(VLOOKUP($C182,'Tantárgyi adatok'!B:F,5,FALSE),"nincs")</f>
        <v>Electrical Engineering</v>
      </c>
    </row>
    <row r="183" spans="1:11" x14ac:dyDescent="0.25">
      <c r="A183" t="s">
        <v>617</v>
      </c>
      <c r="B183" t="s">
        <v>618</v>
      </c>
      <c r="C183" t="s">
        <v>47</v>
      </c>
      <c r="D183" t="str">
        <f>IFERROR(VLOOKUP($C183,'Tantárgyi adatok'!B:F,2,FALSE),"nincs")</f>
        <v>Szakdolgozat</v>
      </c>
      <c r="E183" t="s">
        <v>1113</v>
      </c>
      <c r="F183" t="s">
        <v>1114</v>
      </c>
      <c r="G183" t="s">
        <v>81</v>
      </c>
      <c r="H183" t="str">
        <f>IFERROR(VLOOKUP($C183,'Tantárgyi adatok'!B:F,3,FALSE),"nincs")</f>
        <v>Mérnökinformatikus</v>
      </c>
      <c r="I183" t="s">
        <v>226</v>
      </c>
      <c r="J183" t="str">
        <f>IFERROR(VLOOKUP($C183,'Tantárgyi adatok'!B:F,4,FALSE),"nincs")</f>
        <v>BSc</v>
      </c>
      <c r="K183" t="str">
        <f>IFERROR(VLOOKUP($C183,'Tantárgyi adatok'!B:F,5,FALSE),"nincs")</f>
        <v>Computer Engineering</v>
      </c>
    </row>
    <row r="184" spans="1:11" x14ac:dyDescent="0.25">
      <c r="A184" t="s">
        <v>311</v>
      </c>
      <c r="B184" t="s">
        <v>312</v>
      </c>
      <c r="C184" t="s">
        <v>15</v>
      </c>
      <c r="D184" t="str">
        <f>IFERROR(VLOOKUP($C184,'Tantárgyi adatok'!B:F,2,FALSE),"nincs")</f>
        <v>Diplomatervezés</v>
      </c>
      <c r="E184" t="s">
        <v>824</v>
      </c>
      <c r="F184" t="s">
        <v>825</v>
      </c>
      <c r="G184" t="s">
        <v>81</v>
      </c>
      <c r="H184" t="str">
        <f>IFERROR(VLOOKUP($C184,'Tantárgyi adatok'!B:F,3,FALSE),"nincs")</f>
        <v>Villamosmérnök</v>
      </c>
      <c r="I184" t="s">
        <v>313</v>
      </c>
      <c r="J184" t="str">
        <f>IFERROR(VLOOKUP($C184,'Tantárgyi adatok'!B:F,4,FALSE),"nincs")</f>
        <v>MSc</v>
      </c>
      <c r="K184" t="str">
        <f>IFERROR(VLOOKUP($C184,'Tantárgyi adatok'!B:F,5,FALSE),"nincs")</f>
        <v>Electrical Engineering</v>
      </c>
    </row>
    <row r="185" spans="1:11" x14ac:dyDescent="0.25">
      <c r="A185" t="s">
        <v>619</v>
      </c>
      <c r="B185" t="s">
        <v>620</v>
      </c>
      <c r="C185" t="s">
        <v>47</v>
      </c>
      <c r="D185" t="str">
        <f>IFERROR(VLOOKUP($C185,'Tantárgyi adatok'!B:F,2,FALSE),"nincs")</f>
        <v>Szakdolgozat</v>
      </c>
      <c r="E185" t="s">
        <v>1115</v>
      </c>
      <c r="F185" t="s">
        <v>1116</v>
      </c>
      <c r="G185" t="s">
        <v>81</v>
      </c>
      <c r="H185" t="str">
        <f>IFERROR(VLOOKUP($C185,'Tantárgyi adatok'!B:F,3,FALSE),"nincs")</f>
        <v>Mérnökinformatikus</v>
      </c>
      <c r="I185" t="s">
        <v>133</v>
      </c>
      <c r="J185" t="str">
        <f>IFERROR(VLOOKUP($C185,'Tantárgyi adatok'!B:F,4,FALSE),"nincs")</f>
        <v>BSc</v>
      </c>
      <c r="K185" t="str">
        <f>IFERROR(VLOOKUP($C185,'Tantárgyi adatok'!B:F,5,FALSE),"nincs")</f>
        <v>Computer Engineering</v>
      </c>
    </row>
    <row r="186" spans="1:11" x14ac:dyDescent="0.25">
      <c r="A186" t="s">
        <v>224</v>
      </c>
      <c r="B186" t="s">
        <v>225</v>
      </c>
      <c r="C186" t="s">
        <v>11</v>
      </c>
      <c r="D186" t="str">
        <f>IFERROR(VLOOKUP($C186,'Tantárgyi adatok'!B:F,2,FALSE),"nincs")</f>
        <v>Diplomatervezés</v>
      </c>
      <c r="E186" t="s">
        <v>751</v>
      </c>
      <c r="F186" t="s">
        <v>752</v>
      </c>
      <c r="G186" t="s">
        <v>81</v>
      </c>
      <c r="H186" t="str">
        <f>IFERROR(VLOOKUP($C186,'Tantárgyi adatok'!B:F,3,FALSE),"nincs")</f>
        <v>Mérnökinformatikus</v>
      </c>
      <c r="I186" t="s">
        <v>226</v>
      </c>
      <c r="J186" t="str">
        <f>IFERROR(VLOOKUP($C186,'Tantárgyi adatok'!B:F,4,FALSE),"nincs")</f>
        <v>MSc</v>
      </c>
      <c r="K186" t="str">
        <f>IFERROR(VLOOKUP($C186,'Tantárgyi adatok'!B:F,5,FALSE),"nincs")</f>
        <v>Computer Engineering</v>
      </c>
    </row>
    <row r="187" spans="1:11" x14ac:dyDescent="0.25">
      <c r="A187" t="s">
        <v>1211</v>
      </c>
      <c r="B187" t="s">
        <v>1212</v>
      </c>
      <c r="C187" t="s">
        <v>47</v>
      </c>
      <c r="D187" t="str">
        <f>IFERROR(VLOOKUP($C187,'Tantárgyi adatok'!B:F,2,FALSE),"nincs")</f>
        <v>Szakdolgozat</v>
      </c>
      <c r="E187" t="s">
        <v>1362</v>
      </c>
      <c r="F187" t="s">
        <v>1363</v>
      </c>
      <c r="G187" t="s">
        <v>81</v>
      </c>
      <c r="H187" t="str">
        <f>IFERROR(VLOOKUP($C187,'Tantárgyi adatok'!B:F,3,FALSE),"nincs")</f>
        <v>Mérnökinformatikus</v>
      </c>
      <c r="I187" t="s">
        <v>133</v>
      </c>
      <c r="J187" t="str">
        <f>IFERROR(VLOOKUP($C187,'Tantárgyi adatok'!B:F,4,FALSE),"nincs")</f>
        <v>BSc</v>
      </c>
      <c r="K187" t="str">
        <f>IFERROR(VLOOKUP($C187,'Tantárgyi adatok'!B:F,5,FALSE),"nincs")</f>
        <v>Computer Engineering</v>
      </c>
    </row>
    <row r="188" spans="1:11" x14ac:dyDescent="0.25">
      <c r="A188" t="s">
        <v>227</v>
      </c>
      <c r="B188" t="s">
        <v>228</v>
      </c>
      <c r="C188" t="s">
        <v>11</v>
      </c>
      <c r="D188" t="str">
        <f>IFERROR(VLOOKUP($C188,'Tantárgyi adatok'!B:F,2,FALSE),"nincs")</f>
        <v>Diplomatervezés</v>
      </c>
      <c r="E188" t="s">
        <v>753</v>
      </c>
      <c r="F188" t="s">
        <v>754</v>
      </c>
      <c r="G188" t="s">
        <v>81</v>
      </c>
      <c r="H188" t="str">
        <f>IFERROR(VLOOKUP($C188,'Tantárgyi adatok'!B:F,3,FALSE),"nincs")</f>
        <v>Mérnökinformatikus</v>
      </c>
      <c r="I188" t="s">
        <v>80</v>
      </c>
      <c r="J188" t="str">
        <f>IFERROR(VLOOKUP($C188,'Tantárgyi adatok'!B:F,4,FALSE),"nincs")</f>
        <v>MSc</v>
      </c>
      <c r="K188" t="str">
        <f>IFERROR(VLOOKUP($C188,'Tantárgyi adatok'!B:F,5,FALSE),"nincs")</f>
        <v>Computer Engineering</v>
      </c>
    </row>
    <row r="189" spans="1:11" x14ac:dyDescent="0.25">
      <c r="A189" t="s">
        <v>229</v>
      </c>
      <c r="B189" t="s">
        <v>230</v>
      </c>
      <c r="C189" t="s">
        <v>11</v>
      </c>
      <c r="D189" t="str">
        <f>IFERROR(VLOOKUP($C189,'Tantárgyi adatok'!B:F,2,FALSE),"nincs")</f>
        <v>Diplomatervezés</v>
      </c>
      <c r="E189" t="s">
        <v>755</v>
      </c>
      <c r="F189" t="s">
        <v>756</v>
      </c>
      <c r="G189" t="s">
        <v>81</v>
      </c>
      <c r="H189" t="str">
        <f>IFERROR(VLOOKUP($C189,'Tantárgyi adatok'!B:F,3,FALSE),"nincs")</f>
        <v>Mérnökinformatikus</v>
      </c>
      <c r="I189" t="s">
        <v>80</v>
      </c>
      <c r="J189" t="str">
        <f>IFERROR(VLOOKUP($C189,'Tantárgyi adatok'!B:F,4,FALSE),"nincs")</f>
        <v>MSc</v>
      </c>
      <c r="K189" t="str">
        <f>IFERROR(VLOOKUP($C189,'Tantárgyi adatok'!B:F,5,FALSE),"nincs")</f>
        <v>Computer Engineering</v>
      </c>
    </row>
    <row r="190" spans="1:11" x14ac:dyDescent="0.25">
      <c r="A190" t="s">
        <v>488</v>
      </c>
      <c r="B190" t="s">
        <v>489</v>
      </c>
      <c r="C190" t="s">
        <v>45</v>
      </c>
      <c r="D190" t="str">
        <f>IFERROR(VLOOKUP($C190,'Tantárgyi adatok'!B:F,2,FALSE),"nincs")</f>
        <v>Szakdolgozat</v>
      </c>
      <c r="E190" t="s">
        <v>986</v>
      </c>
      <c r="F190" t="s">
        <v>987</v>
      </c>
      <c r="G190" t="s">
        <v>81</v>
      </c>
      <c r="H190" t="str">
        <f>IFERROR(VLOOKUP($C190,'Tantárgyi adatok'!B:F,3,FALSE),"nincs")</f>
        <v>Mérnökinformatikus</v>
      </c>
      <c r="I190" t="s">
        <v>80</v>
      </c>
      <c r="J190" t="str">
        <f>IFERROR(VLOOKUP($C190,'Tantárgyi adatok'!B:F,4,FALSE),"nincs")</f>
        <v>BSc</v>
      </c>
      <c r="K190" t="str">
        <f>IFERROR(VLOOKUP($C190,'Tantárgyi adatok'!B:F,5,FALSE),"nincs")</f>
        <v>Computer Engineering</v>
      </c>
    </row>
    <row r="191" spans="1:11" x14ac:dyDescent="0.25">
      <c r="A191" t="s">
        <v>621</v>
      </c>
      <c r="B191" t="s">
        <v>622</v>
      </c>
      <c r="C191" t="s">
        <v>47</v>
      </c>
      <c r="D191" t="str">
        <f>IFERROR(VLOOKUP($C191,'Tantárgyi adatok'!B:F,2,FALSE),"nincs")</f>
        <v>Szakdolgozat</v>
      </c>
      <c r="E191" t="s">
        <v>1117</v>
      </c>
      <c r="F191" t="s">
        <v>1118</v>
      </c>
      <c r="G191" t="s">
        <v>81</v>
      </c>
      <c r="H191" t="str">
        <f>IFERROR(VLOOKUP($C191,'Tantárgyi adatok'!B:F,3,FALSE),"nincs")</f>
        <v>Mérnökinformatikus</v>
      </c>
      <c r="I191" t="s">
        <v>80</v>
      </c>
      <c r="J191" t="str">
        <f>IFERROR(VLOOKUP($C191,'Tantárgyi adatok'!B:F,4,FALSE),"nincs")</f>
        <v>BSc</v>
      </c>
      <c r="K191" t="str">
        <f>IFERROR(VLOOKUP($C191,'Tantárgyi adatok'!B:F,5,FALSE),"nincs")</f>
        <v>Computer Engineering</v>
      </c>
    </row>
    <row r="192" spans="1:11" x14ac:dyDescent="0.25">
      <c r="A192" t="s">
        <v>490</v>
      </c>
      <c r="B192" t="s">
        <v>491</v>
      </c>
      <c r="C192" t="s">
        <v>45</v>
      </c>
      <c r="D192" t="str">
        <f>IFERROR(VLOOKUP($C192,'Tantárgyi adatok'!B:F,2,FALSE),"nincs")</f>
        <v>Szakdolgozat</v>
      </c>
      <c r="E192" t="s">
        <v>988</v>
      </c>
      <c r="F192" t="s">
        <v>989</v>
      </c>
      <c r="G192" t="s">
        <v>81</v>
      </c>
      <c r="H192" t="str">
        <f>IFERROR(VLOOKUP($C192,'Tantárgyi adatok'!B:F,3,FALSE),"nincs")</f>
        <v>Mérnökinformatikus</v>
      </c>
      <c r="I192" t="s">
        <v>80</v>
      </c>
      <c r="J192" t="str">
        <f>IFERROR(VLOOKUP($C192,'Tantárgyi adatok'!B:F,4,FALSE),"nincs")</f>
        <v>BSc</v>
      </c>
      <c r="K192" t="str">
        <f>IFERROR(VLOOKUP($C192,'Tantárgyi adatok'!B:F,5,FALSE),"nincs")</f>
        <v>Computer Engineering</v>
      </c>
    </row>
    <row r="193" spans="1:11" x14ac:dyDescent="0.25">
      <c r="A193" t="s">
        <v>231</v>
      </c>
      <c r="B193" t="s">
        <v>232</v>
      </c>
      <c r="C193" t="s">
        <v>11</v>
      </c>
      <c r="D193" t="str">
        <f>IFERROR(VLOOKUP($C193,'Tantárgyi adatok'!B:F,2,FALSE),"nincs")</f>
        <v>Diplomatervezés</v>
      </c>
      <c r="E193" t="s">
        <v>757</v>
      </c>
      <c r="F193" t="s">
        <v>758</v>
      </c>
      <c r="G193" t="s">
        <v>81</v>
      </c>
      <c r="H193" t="str">
        <f>IFERROR(VLOOKUP($C193,'Tantárgyi adatok'!B:F,3,FALSE),"nincs")</f>
        <v>Mérnökinformatikus</v>
      </c>
      <c r="I193" t="s">
        <v>80</v>
      </c>
      <c r="J193" t="str">
        <f>IFERROR(VLOOKUP($C193,'Tantárgyi adatok'!B:F,4,FALSE),"nincs")</f>
        <v>MSc</v>
      </c>
      <c r="K193" t="str">
        <f>IFERROR(VLOOKUP($C193,'Tantárgyi adatok'!B:F,5,FALSE),"nincs")</f>
        <v>Computer Engineering</v>
      </c>
    </row>
    <row r="194" spans="1:11" x14ac:dyDescent="0.25">
      <c r="A194" t="s">
        <v>623</v>
      </c>
      <c r="B194" t="s">
        <v>624</v>
      </c>
      <c r="C194" t="s">
        <v>47</v>
      </c>
      <c r="D194" t="str">
        <f>IFERROR(VLOOKUP($C194,'Tantárgyi adatok'!B:F,2,FALSE),"nincs")</f>
        <v>Szakdolgozat</v>
      </c>
      <c r="E194" t="s">
        <v>1119</v>
      </c>
      <c r="F194" t="s">
        <v>1120</v>
      </c>
      <c r="G194" t="s">
        <v>81</v>
      </c>
      <c r="H194" t="str">
        <f>IFERROR(VLOOKUP($C194,'Tantárgyi adatok'!B:F,3,FALSE),"nincs")</f>
        <v>Mérnökinformatikus</v>
      </c>
      <c r="I194" t="s">
        <v>80</v>
      </c>
      <c r="J194" t="str">
        <f>IFERROR(VLOOKUP($C194,'Tantárgyi adatok'!B:F,4,FALSE),"nincs")</f>
        <v>BSc</v>
      </c>
      <c r="K194" t="str">
        <f>IFERROR(VLOOKUP($C194,'Tantárgyi adatok'!B:F,5,FALSE),"nincs")</f>
        <v>Computer Engineering</v>
      </c>
    </row>
    <row r="195" spans="1:11" x14ac:dyDescent="0.25">
      <c r="A195" t="s">
        <v>233</v>
      </c>
      <c r="B195" t="s">
        <v>234</v>
      </c>
      <c r="C195" t="s">
        <v>11</v>
      </c>
      <c r="D195" t="str">
        <f>IFERROR(VLOOKUP($C195,'Tantárgyi adatok'!B:F,2,FALSE),"nincs")</f>
        <v>Diplomatervezés</v>
      </c>
      <c r="E195" t="s">
        <v>759</v>
      </c>
      <c r="F195" t="s">
        <v>760</v>
      </c>
      <c r="G195" t="s">
        <v>81</v>
      </c>
      <c r="H195" t="str">
        <f>IFERROR(VLOOKUP($C195,'Tantárgyi adatok'!B:F,3,FALSE),"nincs")</f>
        <v>Mérnökinformatikus</v>
      </c>
      <c r="I195" t="s">
        <v>80</v>
      </c>
      <c r="J195" t="str">
        <f>IFERROR(VLOOKUP($C195,'Tantárgyi adatok'!B:F,4,FALSE),"nincs")</f>
        <v>MSc</v>
      </c>
      <c r="K195" t="str">
        <f>IFERROR(VLOOKUP($C195,'Tantárgyi adatok'!B:F,5,FALSE),"nincs")</f>
        <v>Computer Engineering</v>
      </c>
    </row>
    <row r="196" spans="1:11" x14ac:dyDescent="0.25">
      <c r="A196" t="s">
        <v>235</v>
      </c>
      <c r="B196" t="s">
        <v>236</v>
      </c>
      <c r="C196" t="s">
        <v>11</v>
      </c>
      <c r="D196" t="str">
        <f>IFERROR(VLOOKUP($C196,'Tantárgyi adatok'!B:F,2,FALSE),"nincs")</f>
        <v>Diplomatervezés</v>
      </c>
      <c r="E196" t="s">
        <v>761</v>
      </c>
      <c r="F196" t="s">
        <v>762</v>
      </c>
      <c r="G196" t="s">
        <v>81</v>
      </c>
      <c r="H196" t="str">
        <f>IFERROR(VLOOKUP($C196,'Tantárgyi adatok'!B:F,3,FALSE),"nincs")</f>
        <v>Mérnökinformatikus</v>
      </c>
      <c r="I196" t="s">
        <v>80</v>
      </c>
      <c r="J196" t="str">
        <f>IFERROR(VLOOKUP($C196,'Tantárgyi adatok'!B:F,4,FALSE),"nincs")</f>
        <v>MSc</v>
      </c>
      <c r="K196" t="str">
        <f>IFERROR(VLOOKUP($C196,'Tantárgyi adatok'!B:F,5,FALSE),"nincs")</f>
        <v>Computer Engineering</v>
      </c>
    </row>
    <row r="197" spans="1:11" x14ac:dyDescent="0.25">
      <c r="A197" t="s">
        <v>492</v>
      </c>
      <c r="B197" t="s">
        <v>493</v>
      </c>
      <c r="C197" t="s">
        <v>45</v>
      </c>
      <c r="D197" t="str">
        <f>IFERROR(VLOOKUP($C197,'Tantárgyi adatok'!B:F,2,FALSE),"nincs")</f>
        <v>Szakdolgozat</v>
      </c>
      <c r="E197" t="s">
        <v>990</v>
      </c>
      <c r="F197" t="s">
        <v>991</v>
      </c>
      <c r="G197" t="s">
        <v>81</v>
      </c>
      <c r="H197" t="str">
        <f>IFERROR(VLOOKUP($C197,'Tantárgyi adatok'!B:F,3,FALSE),"nincs")</f>
        <v>Mérnökinformatikus</v>
      </c>
      <c r="I197" t="s">
        <v>80</v>
      </c>
      <c r="J197" t="str">
        <f>IFERROR(VLOOKUP($C197,'Tantárgyi adatok'!B:F,4,FALSE),"nincs")</f>
        <v>BSc</v>
      </c>
      <c r="K197" t="str">
        <f>IFERROR(VLOOKUP($C197,'Tantárgyi adatok'!B:F,5,FALSE),"nincs")</f>
        <v>Computer Engineering</v>
      </c>
    </row>
    <row r="198" spans="1:11" x14ac:dyDescent="0.25">
      <c r="A198" t="s">
        <v>237</v>
      </c>
      <c r="B198" t="s">
        <v>238</v>
      </c>
      <c r="C198" t="s">
        <v>11</v>
      </c>
      <c r="D198" t="str">
        <f>IFERROR(VLOOKUP($C198,'Tantárgyi adatok'!B:F,2,FALSE),"nincs")</f>
        <v>Diplomatervezés</v>
      </c>
      <c r="E198" t="s">
        <v>763</v>
      </c>
      <c r="F198" t="s">
        <v>764</v>
      </c>
      <c r="G198" t="s">
        <v>81</v>
      </c>
      <c r="H198" t="str">
        <f>IFERROR(VLOOKUP($C198,'Tantárgyi adatok'!B:F,3,FALSE),"nincs")</f>
        <v>Mérnökinformatikus</v>
      </c>
      <c r="I198" t="s">
        <v>136</v>
      </c>
      <c r="J198" t="str">
        <f>IFERROR(VLOOKUP($C198,'Tantárgyi adatok'!B:F,4,FALSE),"nincs")</f>
        <v>MSc</v>
      </c>
      <c r="K198" t="str">
        <f>IFERROR(VLOOKUP($C198,'Tantárgyi adatok'!B:F,5,FALSE),"nincs")</f>
        <v>Computer Engineering</v>
      </c>
    </row>
    <row r="199" spans="1:11" x14ac:dyDescent="0.25">
      <c r="A199" t="s">
        <v>239</v>
      </c>
      <c r="B199" t="s">
        <v>240</v>
      </c>
      <c r="C199" t="s">
        <v>11</v>
      </c>
      <c r="D199" t="str">
        <f>IFERROR(VLOOKUP($C199,'Tantárgyi adatok'!B:F,2,FALSE),"nincs")</f>
        <v>Diplomatervezés</v>
      </c>
      <c r="E199" t="s">
        <v>765</v>
      </c>
      <c r="F199" t="s">
        <v>766</v>
      </c>
      <c r="G199" t="s">
        <v>81</v>
      </c>
      <c r="H199" t="str">
        <f>IFERROR(VLOOKUP($C199,'Tantárgyi adatok'!B:F,3,FALSE),"nincs")</f>
        <v>Mérnökinformatikus</v>
      </c>
      <c r="I199" t="s">
        <v>133</v>
      </c>
      <c r="J199" t="str">
        <f>IFERROR(VLOOKUP($C199,'Tantárgyi adatok'!B:F,4,FALSE),"nincs")</f>
        <v>MSc</v>
      </c>
      <c r="K199" t="str">
        <f>IFERROR(VLOOKUP($C199,'Tantárgyi adatok'!B:F,5,FALSE),"nincs")</f>
        <v>Computer Engineering</v>
      </c>
    </row>
    <row r="200" spans="1:11" x14ac:dyDescent="0.25">
      <c r="A200" t="s">
        <v>625</v>
      </c>
      <c r="B200" t="s">
        <v>626</v>
      </c>
      <c r="C200" t="s">
        <v>47</v>
      </c>
      <c r="D200" t="str">
        <f>IFERROR(VLOOKUP($C200,'Tantárgyi adatok'!B:F,2,FALSE),"nincs")</f>
        <v>Szakdolgozat</v>
      </c>
      <c r="E200" t="s">
        <v>1121</v>
      </c>
      <c r="F200" t="s">
        <v>1122</v>
      </c>
      <c r="G200" t="s">
        <v>81</v>
      </c>
      <c r="H200" t="str">
        <f>IFERROR(VLOOKUP($C200,'Tantárgyi adatok'!B:F,3,FALSE),"nincs")</f>
        <v>Mérnökinformatikus</v>
      </c>
      <c r="I200" t="s">
        <v>133</v>
      </c>
      <c r="J200" t="str">
        <f>IFERROR(VLOOKUP($C200,'Tantárgyi adatok'!B:F,4,FALSE),"nincs")</f>
        <v>BSc</v>
      </c>
      <c r="K200" t="str">
        <f>IFERROR(VLOOKUP($C200,'Tantárgyi adatok'!B:F,5,FALSE),"nincs")</f>
        <v>Computer Engineering</v>
      </c>
    </row>
    <row r="201" spans="1:11" x14ac:dyDescent="0.25">
      <c r="A201" t="s">
        <v>627</v>
      </c>
      <c r="B201" t="s">
        <v>628</v>
      </c>
      <c r="C201" t="s">
        <v>47</v>
      </c>
      <c r="D201" t="str">
        <f>IFERROR(VLOOKUP($C201,'Tantárgyi adatok'!B:F,2,FALSE),"nincs")</f>
        <v>Szakdolgozat</v>
      </c>
      <c r="E201" t="s">
        <v>1123</v>
      </c>
      <c r="F201" t="s">
        <v>1124</v>
      </c>
      <c r="G201" t="s">
        <v>81</v>
      </c>
      <c r="H201" t="str">
        <f>IFERROR(VLOOKUP($C201,'Tantárgyi adatok'!B:F,3,FALSE),"nincs")</f>
        <v>Mérnökinformatikus</v>
      </c>
      <c r="I201" t="s">
        <v>143</v>
      </c>
      <c r="J201" t="str">
        <f>IFERROR(VLOOKUP($C201,'Tantárgyi adatok'!B:F,4,FALSE),"nincs")</f>
        <v>BSc</v>
      </c>
      <c r="K201" t="str">
        <f>IFERROR(VLOOKUP($C201,'Tantárgyi adatok'!B:F,5,FALSE),"nincs")</f>
        <v>Computer Engineering</v>
      </c>
    </row>
    <row r="202" spans="1:11" x14ac:dyDescent="0.25">
      <c r="A202" t="s">
        <v>241</v>
      </c>
      <c r="B202" t="s">
        <v>242</v>
      </c>
      <c r="C202" t="s">
        <v>11</v>
      </c>
      <c r="D202" t="str">
        <f>IFERROR(VLOOKUP($C202,'Tantárgyi adatok'!B:F,2,FALSE),"nincs")</f>
        <v>Diplomatervezés</v>
      </c>
      <c r="E202" t="s">
        <v>767</v>
      </c>
      <c r="F202" t="s">
        <v>768</v>
      </c>
      <c r="G202" t="s">
        <v>81</v>
      </c>
      <c r="H202" t="str">
        <f>IFERROR(VLOOKUP($C202,'Tantárgyi adatok'!B:F,3,FALSE),"nincs")</f>
        <v>Mérnökinformatikus</v>
      </c>
      <c r="I202" t="s">
        <v>143</v>
      </c>
      <c r="J202" t="str">
        <f>IFERROR(VLOOKUP($C202,'Tantárgyi adatok'!B:F,4,FALSE),"nincs")</f>
        <v>MSc</v>
      </c>
      <c r="K202" t="str">
        <f>IFERROR(VLOOKUP($C202,'Tantárgyi adatok'!B:F,5,FALSE),"nincs")</f>
        <v>Computer Engineering</v>
      </c>
    </row>
    <row r="203" spans="1:11" x14ac:dyDescent="0.25">
      <c r="A203" t="s">
        <v>629</v>
      </c>
      <c r="B203" t="s">
        <v>630</v>
      </c>
      <c r="C203" t="s">
        <v>47</v>
      </c>
      <c r="D203" t="str">
        <f>IFERROR(VLOOKUP($C203,'Tantárgyi adatok'!B:F,2,FALSE),"nincs")</f>
        <v>Szakdolgozat</v>
      </c>
      <c r="E203" t="s">
        <v>1125</v>
      </c>
      <c r="F203" t="s">
        <v>1126</v>
      </c>
      <c r="G203" t="s">
        <v>791</v>
      </c>
      <c r="H203" t="str">
        <f>IFERROR(VLOOKUP($C203,'Tantárgyi adatok'!B:F,3,FALSE),"nincs")</f>
        <v>Mérnökinformatikus</v>
      </c>
      <c r="I203" t="s">
        <v>134</v>
      </c>
      <c r="J203" t="str">
        <f>IFERROR(VLOOKUP($C203,'Tantárgyi adatok'!B:F,4,FALSE),"nincs")</f>
        <v>BSc</v>
      </c>
      <c r="K203" t="str">
        <f>IFERROR(VLOOKUP($C203,'Tantárgyi adatok'!B:F,5,FALSE),"nincs")</f>
        <v>Computer Engineering</v>
      </c>
    </row>
    <row r="204" spans="1:11" x14ac:dyDescent="0.25">
      <c r="A204" t="s">
        <v>341</v>
      </c>
      <c r="B204" t="s">
        <v>342</v>
      </c>
      <c r="C204" t="s">
        <v>19</v>
      </c>
      <c r="D204" t="str">
        <f>IFERROR(VLOOKUP($C204,'Tantárgyi adatok'!B:F,2,FALSE),"nincs")</f>
        <v>Diplomatervezés</v>
      </c>
      <c r="E204" t="s">
        <v>850</v>
      </c>
      <c r="F204" t="s">
        <v>851</v>
      </c>
      <c r="G204" t="s">
        <v>81</v>
      </c>
      <c r="H204" t="str">
        <f>IFERROR(VLOOKUP($C204,'Tantárgyi adatok'!B:F,3,FALSE),"nincs")</f>
        <v>Mechatronikai mérnök</v>
      </c>
      <c r="I204" t="s">
        <v>321</v>
      </c>
      <c r="J204" t="str">
        <f>IFERROR(VLOOKUP($C204,'Tantárgyi adatok'!B:F,4,FALSE),"nincs")</f>
        <v>MSc</v>
      </c>
      <c r="K204" t="str">
        <f>IFERROR(VLOOKUP($C204,'Tantárgyi adatok'!B:F,5,FALSE),"nincs")</f>
        <v>Mechatronic Engineering</v>
      </c>
    </row>
    <row r="205" spans="1:11" x14ac:dyDescent="0.25">
      <c r="A205" t="s">
        <v>631</v>
      </c>
      <c r="B205" t="s">
        <v>632</v>
      </c>
      <c r="C205" t="s">
        <v>47</v>
      </c>
      <c r="D205" t="str">
        <f>IFERROR(VLOOKUP($C205,'Tantárgyi adatok'!B:F,2,FALSE),"nincs")</f>
        <v>Szakdolgozat</v>
      </c>
      <c r="E205" t="s">
        <v>1127</v>
      </c>
      <c r="F205" t="s">
        <v>1128</v>
      </c>
      <c r="G205" t="s">
        <v>81</v>
      </c>
      <c r="H205" t="str">
        <f>IFERROR(VLOOKUP($C205,'Tantárgyi adatok'!B:F,3,FALSE),"nincs")</f>
        <v>Mérnökinformatikus</v>
      </c>
      <c r="I205" t="s">
        <v>154</v>
      </c>
      <c r="J205" t="str">
        <f>IFERROR(VLOOKUP($C205,'Tantárgyi adatok'!B:F,4,FALSE),"nincs")</f>
        <v>BSc</v>
      </c>
      <c r="K205" t="str">
        <f>IFERROR(VLOOKUP($C205,'Tantárgyi adatok'!B:F,5,FALSE),"nincs")</f>
        <v>Computer Engineering</v>
      </c>
    </row>
    <row r="206" spans="1:11" x14ac:dyDescent="0.25">
      <c r="A206" t="s">
        <v>633</v>
      </c>
      <c r="B206" t="s">
        <v>634</v>
      </c>
      <c r="C206" t="s">
        <v>47</v>
      </c>
      <c r="D206" t="str">
        <f>IFERROR(VLOOKUP($C206,'Tantárgyi adatok'!B:F,2,FALSE),"nincs")</f>
        <v>Szakdolgozat</v>
      </c>
      <c r="E206" t="s">
        <v>1129</v>
      </c>
      <c r="F206" t="s">
        <v>1130</v>
      </c>
      <c r="G206" t="s">
        <v>81</v>
      </c>
      <c r="H206" t="str">
        <f>IFERROR(VLOOKUP($C206,'Tantárgyi adatok'!B:F,3,FALSE),"nincs")</f>
        <v>Mérnökinformatikus</v>
      </c>
      <c r="I206" t="s">
        <v>133</v>
      </c>
      <c r="J206" t="str">
        <f>IFERROR(VLOOKUP($C206,'Tantárgyi adatok'!B:F,4,FALSE),"nincs")</f>
        <v>BSc</v>
      </c>
      <c r="K206" t="str">
        <f>IFERROR(VLOOKUP($C206,'Tantárgyi adatok'!B:F,5,FALSE),"nincs")</f>
        <v>Computer Engineering</v>
      </c>
    </row>
    <row r="207" spans="1:11" x14ac:dyDescent="0.25">
      <c r="A207" t="s">
        <v>314</v>
      </c>
      <c r="B207" t="s">
        <v>315</v>
      </c>
      <c r="C207" t="s">
        <v>15</v>
      </c>
      <c r="D207" t="str">
        <f>IFERROR(VLOOKUP($C207,'Tantárgyi adatok'!B:F,2,FALSE),"nincs")</f>
        <v>Diplomatervezés</v>
      </c>
      <c r="E207" t="s">
        <v>826</v>
      </c>
      <c r="F207" t="s">
        <v>827</v>
      </c>
      <c r="G207" t="s">
        <v>81</v>
      </c>
      <c r="H207" t="str">
        <f>IFERROR(VLOOKUP($C207,'Tantárgyi adatok'!B:F,3,FALSE),"nincs")</f>
        <v>Villamosmérnök</v>
      </c>
      <c r="I207" t="s">
        <v>151</v>
      </c>
      <c r="J207" t="str">
        <f>IFERROR(VLOOKUP($C207,'Tantárgyi adatok'!B:F,4,FALSE),"nincs")</f>
        <v>MSc</v>
      </c>
      <c r="K207" t="str">
        <f>IFERROR(VLOOKUP($C207,'Tantárgyi adatok'!B:F,5,FALSE),"nincs")</f>
        <v>Electrical Engineering</v>
      </c>
    </row>
    <row r="208" spans="1:11" x14ac:dyDescent="0.25">
      <c r="A208" t="s">
        <v>635</v>
      </c>
      <c r="B208" t="s">
        <v>636</v>
      </c>
      <c r="C208" t="s">
        <v>47</v>
      </c>
      <c r="D208" t="str">
        <f>IFERROR(VLOOKUP($C208,'Tantárgyi adatok'!B:F,2,FALSE),"nincs")</f>
        <v>Szakdolgozat</v>
      </c>
      <c r="E208" t="s">
        <v>1131</v>
      </c>
      <c r="F208" t="s">
        <v>1132</v>
      </c>
      <c r="G208" t="s">
        <v>81</v>
      </c>
      <c r="H208" t="str">
        <f>IFERROR(VLOOKUP($C208,'Tantárgyi adatok'!B:F,3,FALSE),"nincs")</f>
        <v>Mérnökinformatikus</v>
      </c>
      <c r="I208" t="s">
        <v>133</v>
      </c>
      <c r="J208" t="str">
        <f>IFERROR(VLOOKUP($C208,'Tantárgyi adatok'!B:F,4,FALSE),"nincs")</f>
        <v>BSc</v>
      </c>
      <c r="K208" t="str">
        <f>IFERROR(VLOOKUP($C208,'Tantárgyi adatok'!B:F,5,FALSE),"nincs")</f>
        <v>Computer Engineering</v>
      </c>
    </row>
    <row r="209" spans="1:11" x14ac:dyDescent="0.25">
      <c r="A209" t="s">
        <v>368</v>
      </c>
      <c r="B209" t="s">
        <v>369</v>
      </c>
      <c r="C209" t="s">
        <v>39</v>
      </c>
      <c r="D209" t="str">
        <f>IFERROR(VLOOKUP($C209,'Tantárgyi adatok'!B:F,2,FALSE),"nincs")</f>
        <v>Szakdolgozat</v>
      </c>
      <c r="E209" t="s">
        <v>872</v>
      </c>
      <c r="F209" t="s">
        <v>873</v>
      </c>
      <c r="G209" t="s">
        <v>81</v>
      </c>
      <c r="H209" t="str">
        <f>IFERROR(VLOOKUP($C209,'Tantárgyi adatok'!B:F,3,FALSE),"nincs")</f>
        <v>Mechatronikai mérnök</v>
      </c>
      <c r="I209" t="s">
        <v>145</v>
      </c>
      <c r="J209" t="str">
        <f>IFERROR(VLOOKUP($C209,'Tantárgyi adatok'!B:F,4,FALSE),"nincs")</f>
        <v>BSc</v>
      </c>
      <c r="K209" t="str">
        <f>IFERROR(VLOOKUP($C209,'Tantárgyi adatok'!B:F,5,FALSE),"nincs")</f>
        <v>Electrical Engineering</v>
      </c>
    </row>
    <row r="210" spans="1:11" x14ac:dyDescent="0.25">
      <c r="A210" t="s">
        <v>637</v>
      </c>
      <c r="B210" t="s">
        <v>638</v>
      </c>
      <c r="C210" t="s">
        <v>47</v>
      </c>
      <c r="D210" t="str">
        <f>IFERROR(VLOOKUP($C210,'Tantárgyi adatok'!B:F,2,FALSE),"nincs")</f>
        <v>Szakdolgozat</v>
      </c>
      <c r="E210" t="s">
        <v>1133</v>
      </c>
      <c r="F210" t="s">
        <v>1134</v>
      </c>
      <c r="G210" t="s">
        <v>81</v>
      </c>
      <c r="H210" t="str">
        <f>IFERROR(VLOOKUP($C210,'Tantárgyi adatok'!B:F,3,FALSE),"nincs")</f>
        <v>Mérnökinformatikus</v>
      </c>
      <c r="I210" t="s">
        <v>226</v>
      </c>
      <c r="J210" t="str">
        <f>IFERROR(VLOOKUP($C210,'Tantárgyi adatok'!B:F,4,FALSE),"nincs")</f>
        <v>BSc</v>
      </c>
      <c r="K210" t="str">
        <f>IFERROR(VLOOKUP($C210,'Tantárgyi adatok'!B:F,5,FALSE),"nincs")</f>
        <v>Computer Engineering</v>
      </c>
    </row>
    <row r="211" spans="1:11" x14ac:dyDescent="0.25">
      <c r="A211" t="s">
        <v>639</v>
      </c>
      <c r="B211" t="s">
        <v>640</v>
      </c>
      <c r="C211" t="s">
        <v>47</v>
      </c>
      <c r="D211" t="str">
        <f>IFERROR(VLOOKUP($C211,'Tantárgyi adatok'!B:F,2,FALSE),"nincs")</f>
        <v>Szakdolgozat</v>
      </c>
      <c r="E211" t="s">
        <v>1135</v>
      </c>
      <c r="F211" t="s">
        <v>1136</v>
      </c>
      <c r="G211" t="s">
        <v>81</v>
      </c>
      <c r="H211" t="str">
        <f>IFERROR(VLOOKUP($C211,'Tantárgyi adatok'!B:F,3,FALSE),"nincs")</f>
        <v>Mérnökinformatikus</v>
      </c>
      <c r="I211" t="s">
        <v>138</v>
      </c>
      <c r="J211" t="str">
        <f>IFERROR(VLOOKUP($C211,'Tantárgyi adatok'!B:F,4,FALSE),"nincs")</f>
        <v>BSc</v>
      </c>
      <c r="K211" t="str">
        <f>IFERROR(VLOOKUP($C211,'Tantárgyi adatok'!B:F,5,FALSE),"nincs")</f>
        <v>Computer Engineering</v>
      </c>
    </row>
    <row r="212" spans="1:11" x14ac:dyDescent="0.25">
      <c r="A212" t="s">
        <v>370</v>
      </c>
      <c r="B212" t="s">
        <v>371</v>
      </c>
      <c r="C212" t="s">
        <v>39</v>
      </c>
      <c r="D212" t="str">
        <f>IFERROR(VLOOKUP($C212,'Tantárgyi adatok'!B:F,2,FALSE),"nincs")</f>
        <v>Szakdolgozat</v>
      </c>
      <c r="E212" t="s">
        <v>874</v>
      </c>
      <c r="F212" t="s">
        <v>875</v>
      </c>
      <c r="G212" t="s">
        <v>81</v>
      </c>
      <c r="H212" t="str">
        <f>IFERROR(VLOOKUP($C212,'Tantárgyi adatok'!B:F,3,FALSE),"nincs")</f>
        <v>Mechatronikai mérnök</v>
      </c>
      <c r="I212" t="s">
        <v>321</v>
      </c>
      <c r="J212" t="str">
        <f>IFERROR(VLOOKUP($C212,'Tantárgyi adatok'!B:F,4,FALSE),"nincs")</f>
        <v>BSc</v>
      </c>
      <c r="K212" t="str">
        <f>IFERROR(VLOOKUP($C212,'Tantárgyi adatok'!B:F,5,FALSE),"nincs")</f>
        <v>Electrical Engineering</v>
      </c>
    </row>
    <row r="213" spans="1:11" x14ac:dyDescent="0.25">
      <c r="A213" t="s">
        <v>370</v>
      </c>
      <c r="B213" t="s">
        <v>371</v>
      </c>
      <c r="C213" t="s">
        <v>39</v>
      </c>
      <c r="D213" t="str">
        <f>IFERROR(VLOOKUP($C213,'Tantárgyi adatok'!B:F,2,FALSE),"nincs")</f>
        <v>Szakdolgozat</v>
      </c>
      <c r="E213" t="s">
        <v>874</v>
      </c>
      <c r="F213" t="s">
        <v>875</v>
      </c>
      <c r="G213" t="s">
        <v>81</v>
      </c>
      <c r="H213" t="str">
        <f>IFERROR(VLOOKUP($C213,'Tantárgyi adatok'!B:F,3,FALSE),"nincs")</f>
        <v>Mechatronikai mérnök</v>
      </c>
      <c r="I213" t="s">
        <v>372</v>
      </c>
      <c r="J213" t="str">
        <f>IFERROR(VLOOKUP($C213,'Tantárgyi adatok'!B:F,4,FALSE),"nincs")</f>
        <v>BSc</v>
      </c>
      <c r="K213" t="str">
        <f>IFERROR(VLOOKUP($C213,'Tantárgyi adatok'!B:F,5,FALSE),"nincs")</f>
        <v>Electrical Engineering</v>
      </c>
    </row>
    <row r="214" spans="1:11" x14ac:dyDescent="0.25">
      <c r="A214" t="s">
        <v>419</v>
      </c>
      <c r="B214" t="s">
        <v>420</v>
      </c>
      <c r="C214" t="s">
        <v>41</v>
      </c>
      <c r="D214" t="str">
        <f>IFERROR(VLOOKUP($C214,'Tantárgyi adatok'!B:F,2,FALSE),"nincs")</f>
        <v>Szakdolgozat</v>
      </c>
      <c r="E214" t="s">
        <v>920</v>
      </c>
      <c r="F214" t="s">
        <v>921</v>
      </c>
      <c r="G214" t="s">
        <v>81</v>
      </c>
      <c r="H214" t="str">
        <f>IFERROR(VLOOKUP($C214,'Tantárgyi adatok'!B:F,3,FALSE),"nincs")</f>
        <v>Villamosmérnök</v>
      </c>
      <c r="I214" t="s">
        <v>348</v>
      </c>
      <c r="J214" t="str">
        <f>IFERROR(VLOOKUP($C214,'Tantárgyi adatok'!B:F,4,FALSE),"nincs")</f>
        <v>BSc</v>
      </c>
      <c r="K214" t="str">
        <f>IFERROR(VLOOKUP($C214,'Tantárgyi adatok'!B:F,5,FALSE),"nincs")</f>
        <v>Electrical Engineering</v>
      </c>
    </row>
    <row r="215" spans="1:11" x14ac:dyDescent="0.25">
      <c r="A215" t="s">
        <v>243</v>
      </c>
      <c r="B215" t="s">
        <v>244</v>
      </c>
      <c r="C215" t="s">
        <v>11</v>
      </c>
      <c r="D215" t="str">
        <f>IFERROR(VLOOKUP($C215,'Tantárgyi adatok'!B:F,2,FALSE),"nincs")</f>
        <v>Diplomatervezés</v>
      </c>
      <c r="E215" t="s">
        <v>769</v>
      </c>
      <c r="F215" t="s">
        <v>770</v>
      </c>
      <c r="G215" t="s">
        <v>81</v>
      </c>
      <c r="H215" t="str">
        <f>IFERROR(VLOOKUP($C215,'Tantárgyi adatok'!B:F,3,FALSE),"nincs")</f>
        <v>Mérnökinformatikus</v>
      </c>
      <c r="I215" t="s">
        <v>181</v>
      </c>
      <c r="J215" t="str">
        <f>IFERROR(VLOOKUP($C215,'Tantárgyi adatok'!B:F,4,FALSE),"nincs")</f>
        <v>MSc</v>
      </c>
      <c r="K215" t="str">
        <f>IFERROR(VLOOKUP($C215,'Tantárgyi adatok'!B:F,5,FALSE),"nincs")</f>
        <v>Computer Engineering</v>
      </c>
    </row>
    <row r="216" spans="1:11" x14ac:dyDescent="0.25">
      <c r="A216" t="s">
        <v>245</v>
      </c>
      <c r="B216" t="s">
        <v>246</v>
      </c>
      <c r="C216" t="s">
        <v>11</v>
      </c>
      <c r="D216" t="str">
        <f>IFERROR(VLOOKUP($C216,'Tantárgyi adatok'!B:F,2,FALSE),"nincs")</f>
        <v>Diplomatervezés</v>
      </c>
      <c r="E216" t="s">
        <v>771</v>
      </c>
      <c r="F216" t="s">
        <v>772</v>
      </c>
      <c r="G216" t="s">
        <v>81</v>
      </c>
      <c r="H216" t="str">
        <f>IFERROR(VLOOKUP($C216,'Tantárgyi adatok'!B:F,3,FALSE),"nincs")</f>
        <v>Mérnökinformatikus</v>
      </c>
      <c r="I216" t="s">
        <v>184</v>
      </c>
      <c r="J216" t="str">
        <f>IFERROR(VLOOKUP($C216,'Tantárgyi adatok'!B:F,4,FALSE),"nincs")</f>
        <v>MSc</v>
      </c>
      <c r="K216" t="str">
        <f>IFERROR(VLOOKUP($C216,'Tantárgyi adatok'!B:F,5,FALSE),"nincs")</f>
        <v>Computer Engineering</v>
      </c>
    </row>
    <row r="217" spans="1:11" x14ac:dyDescent="0.25">
      <c r="A217" t="s">
        <v>245</v>
      </c>
      <c r="B217" t="s">
        <v>246</v>
      </c>
      <c r="C217" t="s">
        <v>11</v>
      </c>
      <c r="D217" t="str">
        <f>IFERROR(VLOOKUP($C217,'Tantárgyi adatok'!B:F,2,FALSE),"nincs")</f>
        <v>Diplomatervezés</v>
      </c>
      <c r="E217" t="s">
        <v>771</v>
      </c>
      <c r="F217" t="s">
        <v>772</v>
      </c>
      <c r="G217" t="s">
        <v>81</v>
      </c>
      <c r="H217" t="str">
        <f>IFERROR(VLOOKUP($C217,'Tantárgyi adatok'!B:F,3,FALSE),"nincs")</f>
        <v>Mérnökinformatikus</v>
      </c>
      <c r="I217" t="s">
        <v>247</v>
      </c>
      <c r="J217" t="str">
        <f>IFERROR(VLOOKUP($C217,'Tantárgyi adatok'!B:F,4,FALSE),"nincs")</f>
        <v>MSc</v>
      </c>
      <c r="K217" t="str">
        <f>IFERROR(VLOOKUP($C217,'Tantárgyi adatok'!B:F,5,FALSE),"nincs")</f>
        <v>Computer Engineering</v>
      </c>
    </row>
    <row r="218" spans="1:11" x14ac:dyDescent="0.25">
      <c r="A218" t="s">
        <v>641</v>
      </c>
      <c r="B218" t="s">
        <v>642</v>
      </c>
      <c r="C218" t="s">
        <v>47</v>
      </c>
      <c r="D218" t="str">
        <f>IFERROR(VLOOKUP($C218,'Tantárgyi adatok'!B:F,2,FALSE),"nincs")</f>
        <v>Szakdolgozat</v>
      </c>
      <c r="E218" t="s">
        <v>1005</v>
      </c>
      <c r="F218" t="s">
        <v>1137</v>
      </c>
      <c r="G218" t="s">
        <v>81</v>
      </c>
      <c r="H218" t="str">
        <f>IFERROR(VLOOKUP($C218,'Tantárgyi adatok'!B:F,3,FALSE),"nincs")</f>
        <v>Mérnökinformatikus</v>
      </c>
      <c r="I218" t="s">
        <v>134</v>
      </c>
      <c r="J218" t="str">
        <f>IFERROR(VLOOKUP($C218,'Tantárgyi adatok'!B:F,4,FALSE),"nincs")</f>
        <v>BSc</v>
      </c>
      <c r="K218" t="str">
        <f>IFERROR(VLOOKUP($C218,'Tantárgyi adatok'!B:F,5,FALSE),"nincs")</f>
        <v>Computer Engineering</v>
      </c>
    </row>
    <row r="219" spans="1:11" x14ac:dyDescent="0.25">
      <c r="A219" t="s">
        <v>643</v>
      </c>
      <c r="B219" t="s">
        <v>644</v>
      </c>
      <c r="C219" t="s">
        <v>47</v>
      </c>
      <c r="D219" t="str">
        <f>IFERROR(VLOOKUP($C219,'Tantárgyi adatok'!B:F,2,FALSE),"nincs")</f>
        <v>Szakdolgozat</v>
      </c>
      <c r="E219" t="s">
        <v>1138</v>
      </c>
      <c r="F219" t="s">
        <v>1139</v>
      </c>
      <c r="G219" t="s">
        <v>81</v>
      </c>
      <c r="H219" t="str">
        <f>IFERROR(VLOOKUP($C219,'Tantárgyi adatok'!B:F,3,FALSE),"nincs")</f>
        <v>Mérnökinformatikus</v>
      </c>
      <c r="I219" t="s">
        <v>134</v>
      </c>
      <c r="J219" t="str">
        <f>IFERROR(VLOOKUP($C219,'Tantárgyi adatok'!B:F,4,FALSE),"nincs")</f>
        <v>BSc</v>
      </c>
      <c r="K219" t="str">
        <f>IFERROR(VLOOKUP($C219,'Tantárgyi adatok'!B:F,5,FALSE),"nincs")</f>
        <v>Computer Engineering</v>
      </c>
    </row>
    <row r="220" spans="1:11" x14ac:dyDescent="0.25">
      <c r="A220" t="s">
        <v>248</v>
      </c>
      <c r="B220" t="s">
        <v>249</v>
      </c>
      <c r="C220" t="s">
        <v>11</v>
      </c>
      <c r="D220" t="str">
        <f>IFERROR(VLOOKUP($C220,'Tantárgyi adatok'!B:F,2,FALSE),"nincs")</f>
        <v>Diplomatervezés</v>
      </c>
      <c r="E220" t="s">
        <v>773</v>
      </c>
      <c r="F220" t="s">
        <v>774</v>
      </c>
      <c r="G220" t="s">
        <v>81</v>
      </c>
      <c r="H220" t="str">
        <f>IFERROR(VLOOKUP($C220,'Tantárgyi adatok'!B:F,3,FALSE),"nincs")</f>
        <v>Mérnökinformatikus</v>
      </c>
      <c r="I220" t="s">
        <v>105</v>
      </c>
      <c r="J220" t="str">
        <f>IFERROR(VLOOKUP($C220,'Tantárgyi adatok'!B:F,4,FALSE),"nincs")</f>
        <v>MSc</v>
      </c>
      <c r="K220" t="str">
        <f>IFERROR(VLOOKUP($C220,'Tantárgyi adatok'!B:F,5,FALSE),"nincs")</f>
        <v>Computer Engineering</v>
      </c>
    </row>
    <row r="221" spans="1:11" x14ac:dyDescent="0.25">
      <c r="A221" t="s">
        <v>248</v>
      </c>
      <c r="B221" t="s">
        <v>249</v>
      </c>
      <c r="C221" t="s">
        <v>11</v>
      </c>
      <c r="D221" t="str">
        <f>IFERROR(VLOOKUP($C221,'Tantárgyi adatok'!B:F,2,FALSE),"nincs")</f>
        <v>Diplomatervezés</v>
      </c>
      <c r="E221" t="s">
        <v>773</v>
      </c>
      <c r="F221" t="s">
        <v>774</v>
      </c>
      <c r="G221" t="s">
        <v>81</v>
      </c>
      <c r="H221" t="str">
        <f>IFERROR(VLOOKUP($C221,'Tantárgyi adatok'!B:F,3,FALSE),"nincs")</f>
        <v>Mérnökinformatikus</v>
      </c>
      <c r="I221" t="s">
        <v>133</v>
      </c>
      <c r="J221" t="str">
        <f>IFERROR(VLOOKUP($C221,'Tantárgyi adatok'!B:F,4,FALSE),"nincs")</f>
        <v>MSc</v>
      </c>
      <c r="K221" t="str">
        <f>IFERROR(VLOOKUP($C221,'Tantárgyi adatok'!B:F,5,FALSE),"nincs")</f>
        <v>Computer Engineering</v>
      </c>
    </row>
    <row r="222" spans="1:11" x14ac:dyDescent="0.25">
      <c r="A222" t="s">
        <v>494</v>
      </c>
      <c r="B222" t="s">
        <v>495</v>
      </c>
      <c r="C222" t="s">
        <v>45</v>
      </c>
      <c r="D222" t="str">
        <f>IFERROR(VLOOKUP($C222,'Tantárgyi adatok'!B:F,2,FALSE),"nincs")</f>
        <v>Szakdolgozat</v>
      </c>
      <c r="E222" t="s">
        <v>992</v>
      </c>
      <c r="F222" t="s">
        <v>993</v>
      </c>
      <c r="G222" t="s">
        <v>81</v>
      </c>
      <c r="H222" t="str">
        <f>IFERROR(VLOOKUP($C222,'Tantárgyi adatok'!B:F,3,FALSE),"nincs")</f>
        <v>Mérnökinformatikus</v>
      </c>
      <c r="I222" t="s">
        <v>105</v>
      </c>
      <c r="J222" t="str">
        <f>IFERROR(VLOOKUP($C222,'Tantárgyi adatok'!B:F,4,FALSE),"nincs")</f>
        <v>BSc</v>
      </c>
      <c r="K222" t="str">
        <f>IFERROR(VLOOKUP($C222,'Tantárgyi adatok'!B:F,5,FALSE),"nincs")</f>
        <v>Computer Engineering</v>
      </c>
    </row>
    <row r="223" spans="1:11" x14ac:dyDescent="0.25">
      <c r="A223" t="s">
        <v>494</v>
      </c>
      <c r="B223" t="s">
        <v>495</v>
      </c>
      <c r="C223" t="s">
        <v>45</v>
      </c>
      <c r="D223" t="str">
        <f>IFERROR(VLOOKUP($C223,'Tantárgyi adatok'!B:F,2,FALSE),"nincs")</f>
        <v>Szakdolgozat</v>
      </c>
      <c r="E223" t="s">
        <v>992</v>
      </c>
      <c r="F223" t="s">
        <v>993</v>
      </c>
      <c r="G223" t="s">
        <v>81</v>
      </c>
      <c r="H223" t="str">
        <f>IFERROR(VLOOKUP($C223,'Tantárgyi adatok'!B:F,3,FALSE),"nincs")</f>
        <v>Mérnökinformatikus</v>
      </c>
      <c r="I223" t="s">
        <v>133</v>
      </c>
      <c r="J223" t="str">
        <f>IFERROR(VLOOKUP($C223,'Tantárgyi adatok'!B:F,4,FALSE),"nincs")</f>
        <v>BSc</v>
      </c>
      <c r="K223" t="str">
        <f>IFERROR(VLOOKUP($C223,'Tantárgyi adatok'!B:F,5,FALSE),"nincs")</f>
        <v>Computer Engineering</v>
      </c>
    </row>
    <row r="224" spans="1:11" x14ac:dyDescent="0.25">
      <c r="A224" t="s">
        <v>421</v>
      </c>
      <c r="B224" t="s">
        <v>422</v>
      </c>
      <c r="C224" t="s">
        <v>41</v>
      </c>
      <c r="D224" t="str">
        <f>IFERROR(VLOOKUP($C224,'Tantárgyi adatok'!B:F,2,FALSE),"nincs")</f>
        <v>Szakdolgozat</v>
      </c>
      <c r="E224" t="s">
        <v>922</v>
      </c>
      <c r="F224" t="s">
        <v>923</v>
      </c>
      <c r="G224" t="s">
        <v>81</v>
      </c>
      <c r="H224" t="str">
        <f>IFERROR(VLOOKUP($C224,'Tantárgyi adatok'!B:F,3,FALSE),"nincs")</f>
        <v>Villamosmérnök</v>
      </c>
      <c r="I224" t="s">
        <v>145</v>
      </c>
      <c r="J224" t="str">
        <f>IFERROR(VLOOKUP($C224,'Tantárgyi adatok'!B:F,4,FALSE),"nincs")</f>
        <v>BSc</v>
      </c>
      <c r="K224" t="str">
        <f>IFERROR(VLOOKUP($C224,'Tantárgyi adatok'!B:F,5,FALSE),"nincs")</f>
        <v>Electrical Engineering</v>
      </c>
    </row>
    <row r="225" spans="1:11" x14ac:dyDescent="0.25">
      <c r="A225" t="s">
        <v>250</v>
      </c>
      <c r="B225" t="s">
        <v>251</v>
      </c>
      <c r="C225" t="s">
        <v>11</v>
      </c>
      <c r="D225" t="str">
        <f>IFERROR(VLOOKUP($C225,'Tantárgyi adatok'!B:F,2,FALSE),"nincs")</f>
        <v>Diplomatervezés</v>
      </c>
      <c r="E225" t="s">
        <v>775</v>
      </c>
      <c r="F225" t="s">
        <v>776</v>
      </c>
      <c r="G225" t="s">
        <v>81</v>
      </c>
      <c r="H225" t="str">
        <f>IFERROR(VLOOKUP($C225,'Tantárgyi adatok'!B:F,3,FALSE),"nincs")</f>
        <v>Mérnökinformatikus</v>
      </c>
      <c r="I225" t="s">
        <v>181</v>
      </c>
      <c r="J225" t="str">
        <f>IFERROR(VLOOKUP($C225,'Tantárgyi adatok'!B:F,4,FALSE),"nincs")</f>
        <v>MSc</v>
      </c>
      <c r="K225" t="str">
        <f>IFERROR(VLOOKUP($C225,'Tantárgyi adatok'!B:F,5,FALSE),"nincs")</f>
        <v>Computer Engineering</v>
      </c>
    </row>
    <row r="226" spans="1:11" x14ac:dyDescent="0.25">
      <c r="A226" t="s">
        <v>252</v>
      </c>
      <c r="B226" t="s">
        <v>253</v>
      </c>
      <c r="C226" t="s">
        <v>11</v>
      </c>
      <c r="D226" t="str">
        <f>IFERROR(VLOOKUP($C226,'Tantárgyi adatok'!B:F,2,FALSE),"nincs")</f>
        <v>Diplomatervezés</v>
      </c>
      <c r="E226" t="s">
        <v>775</v>
      </c>
      <c r="F226" t="s">
        <v>776</v>
      </c>
      <c r="G226" t="s">
        <v>81</v>
      </c>
      <c r="H226" t="str">
        <f>IFERROR(VLOOKUP($C226,'Tantárgyi adatok'!B:F,3,FALSE),"nincs")</f>
        <v>Mérnökinformatikus</v>
      </c>
      <c r="I226" t="s">
        <v>181</v>
      </c>
      <c r="J226" t="str">
        <f>IFERROR(VLOOKUP($C226,'Tantárgyi adatok'!B:F,4,FALSE),"nincs")</f>
        <v>MSc</v>
      </c>
      <c r="K226" t="str">
        <f>IFERROR(VLOOKUP($C226,'Tantárgyi adatok'!B:F,5,FALSE),"nincs")</f>
        <v>Computer Engineering</v>
      </c>
    </row>
    <row r="227" spans="1:11" x14ac:dyDescent="0.25">
      <c r="A227" t="s">
        <v>496</v>
      </c>
      <c r="B227" t="s">
        <v>497</v>
      </c>
      <c r="C227" t="s">
        <v>45</v>
      </c>
      <c r="D227" t="str">
        <f>IFERROR(VLOOKUP($C227,'Tantárgyi adatok'!B:F,2,FALSE),"nincs")</f>
        <v>Szakdolgozat</v>
      </c>
      <c r="E227" t="s">
        <v>994</v>
      </c>
      <c r="F227" t="s">
        <v>995</v>
      </c>
      <c r="G227" t="s">
        <v>81</v>
      </c>
      <c r="H227" t="str">
        <f>IFERROR(VLOOKUP($C227,'Tantárgyi adatok'!B:F,3,FALSE),"nincs")</f>
        <v>Mérnökinformatikus</v>
      </c>
      <c r="I227" t="s">
        <v>191</v>
      </c>
      <c r="J227" t="str">
        <f>IFERROR(VLOOKUP($C227,'Tantárgyi adatok'!B:F,4,FALSE),"nincs")</f>
        <v>BSc</v>
      </c>
      <c r="K227" t="str">
        <f>IFERROR(VLOOKUP($C227,'Tantárgyi adatok'!B:F,5,FALSE),"nincs")</f>
        <v>Computer Engineering</v>
      </c>
    </row>
    <row r="228" spans="1:11" x14ac:dyDescent="0.25">
      <c r="A228" t="s">
        <v>254</v>
      </c>
      <c r="B228" t="s">
        <v>255</v>
      </c>
      <c r="C228" t="s">
        <v>11</v>
      </c>
      <c r="D228" t="str">
        <f>IFERROR(VLOOKUP($C228,'Tantárgyi adatok'!B:F,2,FALSE),"nincs")</f>
        <v>Diplomatervezés</v>
      </c>
      <c r="E228" t="s">
        <v>777</v>
      </c>
      <c r="F228" t="s">
        <v>778</v>
      </c>
      <c r="G228" t="s">
        <v>81</v>
      </c>
      <c r="H228" t="str">
        <f>IFERROR(VLOOKUP($C228,'Tantárgyi adatok'!B:F,3,FALSE),"nincs")</f>
        <v>Mérnökinformatikus</v>
      </c>
      <c r="I228" t="s">
        <v>181</v>
      </c>
      <c r="J228" t="str">
        <f>IFERROR(VLOOKUP($C228,'Tantárgyi adatok'!B:F,4,FALSE),"nincs")</f>
        <v>MSc</v>
      </c>
      <c r="K228" t="str">
        <f>IFERROR(VLOOKUP($C228,'Tantárgyi adatok'!B:F,5,FALSE),"nincs")</f>
        <v>Computer Engineering</v>
      </c>
    </row>
    <row r="229" spans="1:11" x14ac:dyDescent="0.25">
      <c r="A229" t="s">
        <v>316</v>
      </c>
      <c r="B229" t="s">
        <v>317</v>
      </c>
      <c r="C229" t="s">
        <v>15</v>
      </c>
      <c r="D229" t="str">
        <f>IFERROR(VLOOKUP($C229,'Tantárgyi adatok'!B:F,2,FALSE),"nincs")</f>
        <v>Diplomatervezés</v>
      </c>
      <c r="E229" t="s">
        <v>828</v>
      </c>
      <c r="F229" t="s">
        <v>829</v>
      </c>
      <c r="G229" t="s">
        <v>81</v>
      </c>
      <c r="H229" t="str">
        <f>IFERROR(VLOOKUP($C229,'Tantárgyi adatok'!B:F,3,FALSE),"nincs")</f>
        <v>Villamosmérnök</v>
      </c>
      <c r="I229" t="s">
        <v>318</v>
      </c>
      <c r="J229" t="str">
        <f>IFERROR(VLOOKUP($C229,'Tantárgyi adatok'!B:F,4,FALSE),"nincs")</f>
        <v>MSc</v>
      </c>
      <c r="K229" t="str">
        <f>IFERROR(VLOOKUP($C229,'Tantárgyi adatok'!B:F,5,FALSE),"nincs")</f>
        <v>Electrical Engineering</v>
      </c>
    </row>
    <row r="230" spans="1:11" x14ac:dyDescent="0.25">
      <c r="A230" t="s">
        <v>645</v>
      </c>
      <c r="B230" t="s">
        <v>646</v>
      </c>
      <c r="C230" t="s">
        <v>47</v>
      </c>
      <c r="D230" t="str">
        <f>IFERROR(VLOOKUP($C230,'Tantárgyi adatok'!B:F,2,FALSE),"nincs")</f>
        <v>Szakdolgozat</v>
      </c>
      <c r="E230" t="s">
        <v>1140</v>
      </c>
      <c r="F230" t="s">
        <v>1141</v>
      </c>
      <c r="G230" t="s">
        <v>81</v>
      </c>
      <c r="H230" t="str">
        <f>IFERROR(VLOOKUP($C230,'Tantárgyi adatok'!B:F,3,FALSE),"nincs")</f>
        <v>Mérnökinformatikus</v>
      </c>
      <c r="I230" t="s">
        <v>202</v>
      </c>
      <c r="J230" t="str">
        <f>IFERROR(VLOOKUP($C230,'Tantárgyi adatok'!B:F,4,FALSE),"nincs")</f>
        <v>BSc</v>
      </c>
      <c r="K230" t="str">
        <f>IFERROR(VLOOKUP($C230,'Tantárgyi adatok'!B:F,5,FALSE),"nincs")</f>
        <v>Computer Engineering</v>
      </c>
    </row>
    <row r="231" spans="1:11" x14ac:dyDescent="0.25">
      <c r="A231" t="s">
        <v>1194</v>
      </c>
      <c r="B231" t="s">
        <v>1195</v>
      </c>
      <c r="C231" t="s">
        <v>39</v>
      </c>
      <c r="D231" t="str">
        <f>IFERROR(VLOOKUP($C231,'Tantárgyi adatok'!B:F,2,FALSE),"nincs")</f>
        <v>Szakdolgozat</v>
      </c>
      <c r="E231" t="s">
        <v>1364</v>
      </c>
      <c r="F231" t="s">
        <v>1365</v>
      </c>
      <c r="G231" t="s">
        <v>81</v>
      </c>
      <c r="H231" t="str">
        <f>IFERROR(VLOOKUP($C231,'Tantárgyi adatok'!B:F,3,FALSE),"nincs")</f>
        <v>Mechatronikai mérnök</v>
      </c>
      <c r="I231" t="s">
        <v>321</v>
      </c>
      <c r="J231" t="str">
        <f>IFERROR(VLOOKUP($C231,'Tantárgyi adatok'!B:F,4,FALSE),"nincs")</f>
        <v>BSc</v>
      </c>
      <c r="K231" t="str">
        <f>IFERROR(VLOOKUP($C231,'Tantárgyi adatok'!B:F,5,FALSE),"nincs")</f>
        <v>Electrical Engineering</v>
      </c>
    </row>
    <row r="232" spans="1:11" x14ac:dyDescent="0.25">
      <c r="A232" t="s">
        <v>256</v>
      </c>
      <c r="B232" t="s">
        <v>257</v>
      </c>
      <c r="C232" t="s">
        <v>11</v>
      </c>
      <c r="D232" t="str">
        <f>IFERROR(VLOOKUP($C232,'Tantárgyi adatok'!B:F,2,FALSE),"nincs")</f>
        <v>Diplomatervezés</v>
      </c>
      <c r="E232" t="s">
        <v>779</v>
      </c>
      <c r="F232" t="s">
        <v>780</v>
      </c>
      <c r="G232" t="s">
        <v>81</v>
      </c>
      <c r="H232" t="str">
        <f>IFERROR(VLOOKUP($C232,'Tantárgyi adatok'!B:F,3,FALSE),"nincs")</f>
        <v>Mérnökinformatikus</v>
      </c>
      <c r="I232" t="s">
        <v>112</v>
      </c>
      <c r="J232" t="str">
        <f>IFERROR(VLOOKUP($C232,'Tantárgyi adatok'!B:F,4,FALSE),"nincs")</f>
        <v>MSc</v>
      </c>
      <c r="K232" t="str">
        <f>IFERROR(VLOOKUP($C232,'Tantárgyi adatok'!B:F,5,FALSE),"nincs")</f>
        <v>Computer Engineering</v>
      </c>
    </row>
    <row r="233" spans="1:11" x14ac:dyDescent="0.25">
      <c r="A233" t="s">
        <v>258</v>
      </c>
      <c r="B233" t="s">
        <v>259</v>
      </c>
      <c r="C233" t="s">
        <v>11</v>
      </c>
      <c r="D233" t="str">
        <f>IFERROR(VLOOKUP($C233,'Tantárgyi adatok'!B:F,2,FALSE),"nincs")</f>
        <v>Diplomatervezés</v>
      </c>
      <c r="E233" t="s">
        <v>779</v>
      </c>
      <c r="F233" t="s">
        <v>780</v>
      </c>
      <c r="G233" t="s">
        <v>81</v>
      </c>
      <c r="H233" t="str">
        <f>IFERROR(VLOOKUP($C233,'Tantárgyi adatok'!B:F,3,FALSE),"nincs")</f>
        <v>Mérnökinformatikus</v>
      </c>
      <c r="I233" t="s">
        <v>112</v>
      </c>
      <c r="J233" t="str">
        <f>IFERROR(VLOOKUP($C233,'Tantárgyi adatok'!B:F,4,FALSE),"nincs")</f>
        <v>MSc</v>
      </c>
      <c r="K233" t="str">
        <f>IFERROR(VLOOKUP($C233,'Tantárgyi adatok'!B:F,5,FALSE),"nincs")</f>
        <v>Computer Engineering</v>
      </c>
    </row>
    <row r="234" spans="1:11" x14ac:dyDescent="0.25">
      <c r="A234" t="s">
        <v>260</v>
      </c>
      <c r="B234" t="s">
        <v>261</v>
      </c>
      <c r="C234" t="s">
        <v>11</v>
      </c>
      <c r="D234" t="str">
        <f>IFERROR(VLOOKUP($C234,'Tantárgyi adatok'!B:F,2,FALSE),"nincs")</f>
        <v>Diplomatervezés</v>
      </c>
      <c r="E234" t="s">
        <v>779</v>
      </c>
      <c r="F234" t="s">
        <v>780</v>
      </c>
      <c r="G234" t="s">
        <v>81</v>
      </c>
      <c r="H234" t="str">
        <f>IFERROR(VLOOKUP($C234,'Tantárgyi adatok'!B:F,3,FALSE),"nincs")</f>
        <v>Mérnökinformatikus</v>
      </c>
      <c r="I234" t="s">
        <v>112</v>
      </c>
      <c r="J234" t="str">
        <f>IFERROR(VLOOKUP($C234,'Tantárgyi adatok'!B:F,4,FALSE),"nincs")</f>
        <v>MSc</v>
      </c>
      <c r="K234" t="str">
        <f>IFERROR(VLOOKUP($C234,'Tantárgyi adatok'!B:F,5,FALSE),"nincs")</f>
        <v>Computer Engineering</v>
      </c>
    </row>
    <row r="235" spans="1:11" x14ac:dyDescent="0.25">
      <c r="A235" t="s">
        <v>373</v>
      </c>
      <c r="B235" t="s">
        <v>374</v>
      </c>
      <c r="C235" t="s">
        <v>39</v>
      </c>
      <c r="D235" t="str">
        <f>IFERROR(VLOOKUP($C235,'Tantárgyi adatok'!B:F,2,FALSE),"nincs")</f>
        <v>Szakdolgozat</v>
      </c>
      <c r="E235" t="s">
        <v>876</v>
      </c>
      <c r="F235" t="s">
        <v>877</v>
      </c>
      <c r="G235" t="s">
        <v>81</v>
      </c>
      <c r="H235" t="str">
        <f>IFERROR(VLOOKUP($C235,'Tantárgyi adatok'!B:F,3,FALSE),"nincs")</f>
        <v>Mechatronikai mérnök</v>
      </c>
      <c r="I235" t="s">
        <v>150</v>
      </c>
      <c r="J235" t="str">
        <f>IFERROR(VLOOKUP($C235,'Tantárgyi adatok'!B:F,4,FALSE),"nincs")</f>
        <v>BSc</v>
      </c>
      <c r="K235" t="str">
        <f>IFERROR(VLOOKUP($C235,'Tantárgyi adatok'!B:F,5,FALSE),"nincs")</f>
        <v>Electrical Engineering</v>
      </c>
    </row>
    <row r="236" spans="1:11" x14ac:dyDescent="0.25">
      <c r="A236" t="s">
        <v>262</v>
      </c>
      <c r="B236" t="s">
        <v>263</v>
      </c>
      <c r="C236" t="s">
        <v>11</v>
      </c>
      <c r="D236" t="str">
        <f>IFERROR(VLOOKUP($C236,'Tantárgyi adatok'!B:F,2,FALSE),"nincs")</f>
        <v>Diplomatervezés</v>
      </c>
      <c r="E236" t="s">
        <v>781</v>
      </c>
      <c r="F236" t="s">
        <v>782</v>
      </c>
      <c r="G236" t="s">
        <v>81</v>
      </c>
      <c r="H236" t="str">
        <f>IFERROR(VLOOKUP($C236,'Tantárgyi adatok'!B:F,3,FALSE),"nincs")</f>
        <v>Mérnökinformatikus</v>
      </c>
      <c r="I236" t="s">
        <v>168</v>
      </c>
      <c r="J236" t="str">
        <f>IFERROR(VLOOKUP($C236,'Tantárgyi adatok'!B:F,4,FALSE),"nincs")</f>
        <v>MSc</v>
      </c>
      <c r="K236" t="str">
        <f>IFERROR(VLOOKUP($C236,'Tantárgyi adatok'!B:F,5,FALSE),"nincs")</f>
        <v>Computer Engineering</v>
      </c>
    </row>
    <row r="237" spans="1:11" x14ac:dyDescent="0.25">
      <c r="A237" t="s">
        <v>423</v>
      </c>
      <c r="B237" t="s">
        <v>424</v>
      </c>
      <c r="C237" t="s">
        <v>41</v>
      </c>
      <c r="D237" t="str">
        <f>IFERROR(VLOOKUP($C237,'Tantárgyi adatok'!B:F,2,FALSE),"nincs")</f>
        <v>Szakdolgozat</v>
      </c>
      <c r="E237" t="s">
        <v>924</v>
      </c>
      <c r="F237" t="s">
        <v>925</v>
      </c>
      <c r="G237" t="s">
        <v>81</v>
      </c>
      <c r="H237" t="str">
        <f>IFERROR(VLOOKUP($C237,'Tantárgyi adatok'!B:F,3,FALSE),"nincs")</f>
        <v>Villamosmérnök</v>
      </c>
      <c r="I237" t="s">
        <v>425</v>
      </c>
      <c r="J237" t="str">
        <f>IFERROR(VLOOKUP($C237,'Tantárgyi adatok'!B:F,4,FALSE),"nincs")</f>
        <v>BSc</v>
      </c>
      <c r="K237" t="str">
        <f>IFERROR(VLOOKUP($C237,'Tantárgyi adatok'!B:F,5,FALSE),"nincs")</f>
        <v>Electrical Engineering</v>
      </c>
    </row>
    <row r="238" spans="1:11" x14ac:dyDescent="0.25">
      <c r="A238" t="s">
        <v>423</v>
      </c>
      <c r="B238" t="s">
        <v>424</v>
      </c>
      <c r="C238" t="s">
        <v>41</v>
      </c>
      <c r="D238" t="str">
        <f>IFERROR(VLOOKUP($C238,'Tantárgyi adatok'!B:F,2,FALSE),"nincs")</f>
        <v>Szakdolgozat</v>
      </c>
      <c r="E238" t="s">
        <v>924</v>
      </c>
      <c r="F238" t="s">
        <v>925</v>
      </c>
      <c r="G238" t="s">
        <v>81</v>
      </c>
      <c r="H238" t="str">
        <f>IFERROR(VLOOKUP($C238,'Tantárgyi adatok'!B:F,3,FALSE),"nincs")</f>
        <v>Villamosmérnök</v>
      </c>
      <c r="I238" t="s">
        <v>426</v>
      </c>
      <c r="J238" t="str">
        <f>IFERROR(VLOOKUP($C238,'Tantárgyi adatok'!B:F,4,FALSE),"nincs")</f>
        <v>BSc</v>
      </c>
      <c r="K238" t="str">
        <f>IFERROR(VLOOKUP($C238,'Tantárgyi adatok'!B:F,5,FALSE),"nincs")</f>
        <v>Electrical Engineering</v>
      </c>
    </row>
    <row r="239" spans="1:11" x14ac:dyDescent="0.25">
      <c r="A239" t="s">
        <v>427</v>
      </c>
      <c r="B239" t="s">
        <v>428</v>
      </c>
      <c r="C239" t="s">
        <v>41</v>
      </c>
      <c r="D239" t="str">
        <f>IFERROR(VLOOKUP($C239,'Tantárgyi adatok'!B:F,2,FALSE),"nincs")</f>
        <v>Szakdolgozat</v>
      </c>
      <c r="E239" t="s">
        <v>926</v>
      </c>
      <c r="F239" t="s">
        <v>927</v>
      </c>
      <c r="G239" t="s">
        <v>81</v>
      </c>
      <c r="H239" t="str">
        <f>IFERROR(VLOOKUP($C239,'Tantárgyi adatok'!B:F,3,FALSE),"nincs")</f>
        <v>Villamosmérnök</v>
      </c>
      <c r="I239" t="s">
        <v>425</v>
      </c>
      <c r="J239" t="str">
        <f>IFERROR(VLOOKUP($C239,'Tantárgyi adatok'!B:F,4,FALSE),"nincs")</f>
        <v>BSc</v>
      </c>
      <c r="K239" t="str">
        <f>IFERROR(VLOOKUP($C239,'Tantárgyi adatok'!B:F,5,FALSE),"nincs")</f>
        <v>Electrical Engineering</v>
      </c>
    </row>
    <row r="240" spans="1:11" x14ac:dyDescent="0.25">
      <c r="A240" t="s">
        <v>427</v>
      </c>
      <c r="B240" t="s">
        <v>428</v>
      </c>
      <c r="C240" t="s">
        <v>41</v>
      </c>
      <c r="D240" t="str">
        <f>IFERROR(VLOOKUP($C240,'Tantárgyi adatok'!B:F,2,FALSE),"nincs")</f>
        <v>Szakdolgozat</v>
      </c>
      <c r="E240" t="s">
        <v>926</v>
      </c>
      <c r="F240" t="s">
        <v>927</v>
      </c>
      <c r="G240" t="s">
        <v>81</v>
      </c>
      <c r="H240" t="str">
        <f>IFERROR(VLOOKUP($C240,'Tantárgyi adatok'!B:F,3,FALSE),"nincs")</f>
        <v>Villamosmérnök</v>
      </c>
      <c r="I240" t="s">
        <v>426</v>
      </c>
      <c r="J240" t="str">
        <f>IFERROR(VLOOKUP($C240,'Tantárgyi adatok'!B:F,4,FALSE),"nincs")</f>
        <v>BSc</v>
      </c>
      <c r="K240" t="str">
        <f>IFERROR(VLOOKUP($C240,'Tantárgyi adatok'!B:F,5,FALSE),"nincs")</f>
        <v>Electrical Engineering</v>
      </c>
    </row>
    <row r="241" spans="1:11" x14ac:dyDescent="0.25">
      <c r="A241" t="s">
        <v>498</v>
      </c>
      <c r="B241" t="s">
        <v>499</v>
      </c>
      <c r="C241" t="s">
        <v>45</v>
      </c>
      <c r="D241" t="str">
        <f>IFERROR(VLOOKUP($C241,'Tantárgyi adatok'!B:F,2,FALSE),"nincs")</f>
        <v>Szakdolgozat</v>
      </c>
      <c r="E241" t="s">
        <v>996</v>
      </c>
      <c r="F241" t="s">
        <v>997</v>
      </c>
      <c r="G241" t="s">
        <v>81</v>
      </c>
      <c r="H241" t="str">
        <f>IFERROR(VLOOKUP($C241,'Tantárgyi adatok'!B:F,3,FALSE),"nincs")</f>
        <v>Mérnökinformatikus</v>
      </c>
      <c r="I241" t="s">
        <v>181</v>
      </c>
      <c r="J241" t="str">
        <f>IFERROR(VLOOKUP($C241,'Tantárgyi adatok'!B:F,4,FALSE),"nincs")</f>
        <v>BSc</v>
      </c>
      <c r="K241" t="str">
        <f>IFERROR(VLOOKUP($C241,'Tantárgyi adatok'!B:F,5,FALSE),"nincs")</f>
        <v>Computer Engineering</v>
      </c>
    </row>
    <row r="242" spans="1:11" x14ac:dyDescent="0.25">
      <c r="A242" t="s">
        <v>429</v>
      </c>
      <c r="B242" t="s">
        <v>430</v>
      </c>
      <c r="C242" t="s">
        <v>41</v>
      </c>
      <c r="D242" t="str">
        <f>IFERROR(VLOOKUP($C242,'Tantárgyi adatok'!B:F,2,FALSE),"nincs")</f>
        <v>Szakdolgozat</v>
      </c>
      <c r="E242" t="s">
        <v>928</v>
      </c>
      <c r="F242" t="s">
        <v>929</v>
      </c>
      <c r="G242" t="s">
        <v>81</v>
      </c>
      <c r="H242" t="str">
        <f>IFERROR(VLOOKUP($C242,'Tantárgyi adatok'!B:F,3,FALSE),"nincs")</f>
        <v>Villamosmérnök</v>
      </c>
      <c r="I242" t="s">
        <v>372</v>
      </c>
      <c r="J242" t="str">
        <f>IFERROR(VLOOKUP($C242,'Tantárgyi adatok'!B:F,4,FALSE),"nincs")</f>
        <v>BSc</v>
      </c>
      <c r="K242" t="str">
        <f>IFERROR(VLOOKUP($C242,'Tantárgyi adatok'!B:F,5,FALSE),"nincs")</f>
        <v>Electrical Engineering</v>
      </c>
    </row>
    <row r="243" spans="1:11" x14ac:dyDescent="0.25">
      <c r="A243" t="s">
        <v>264</v>
      </c>
      <c r="B243" t="s">
        <v>265</v>
      </c>
      <c r="C243" t="s">
        <v>11</v>
      </c>
      <c r="D243" t="str">
        <f>IFERROR(VLOOKUP($C243,'Tantárgyi adatok'!B:F,2,FALSE),"nincs")</f>
        <v>Diplomatervezés</v>
      </c>
      <c r="E243" t="s">
        <v>783</v>
      </c>
      <c r="F243" t="s">
        <v>784</v>
      </c>
      <c r="G243" t="s">
        <v>81</v>
      </c>
      <c r="H243" t="str">
        <f>IFERROR(VLOOKUP($C243,'Tantárgyi adatok'!B:F,3,FALSE),"nincs")</f>
        <v>Mérnökinformatikus</v>
      </c>
      <c r="I243" t="s">
        <v>168</v>
      </c>
      <c r="J243" t="str">
        <f>IFERROR(VLOOKUP($C243,'Tantárgyi adatok'!B:F,4,FALSE),"nincs")</f>
        <v>MSc</v>
      </c>
      <c r="K243" t="str">
        <f>IFERROR(VLOOKUP($C243,'Tantárgyi adatok'!B:F,5,FALSE),"nincs")</f>
        <v>Computer Engineering</v>
      </c>
    </row>
    <row r="244" spans="1:11" x14ac:dyDescent="0.25">
      <c r="A244" t="s">
        <v>500</v>
      </c>
      <c r="B244" t="s">
        <v>501</v>
      </c>
      <c r="C244" t="s">
        <v>45</v>
      </c>
      <c r="D244" t="str">
        <f>IFERROR(VLOOKUP($C244,'Tantárgyi adatok'!B:F,2,FALSE),"nincs")</f>
        <v>Szakdolgozat</v>
      </c>
      <c r="E244" t="s">
        <v>998</v>
      </c>
      <c r="F244" t="s">
        <v>999</v>
      </c>
      <c r="G244" t="s">
        <v>81</v>
      </c>
      <c r="H244" t="str">
        <f>IFERROR(VLOOKUP($C244,'Tantárgyi adatok'!B:F,3,FALSE),"nincs")</f>
        <v>Mérnökinformatikus</v>
      </c>
      <c r="I244" t="s">
        <v>181</v>
      </c>
      <c r="J244" t="str">
        <f>IFERROR(VLOOKUP($C244,'Tantárgyi adatok'!B:F,4,FALSE),"nincs")</f>
        <v>BSc</v>
      </c>
      <c r="K244" t="str">
        <f>IFERROR(VLOOKUP($C244,'Tantárgyi adatok'!B:F,5,FALSE),"nincs")</f>
        <v>Computer Engineering</v>
      </c>
    </row>
    <row r="245" spans="1:11" x14ac:dyDescent="0.25">
      <c r="A245" t="s">
        <v>343</v>
      </c>
      <c r="B245" t="s">
        <v>344</v>
      </c>
      <c r="C245" t="s">
        <v>19</v>
      </c>
      <c r="D245" t="str">
        <f>IFERROR(VLOOKUP($C245,'Tantárgyi adatok'!B:F,2,FALSE),"nincs")</f>
        <v>Diplomatervezés</v>
      </c>
      <c r="E245" t="s">
        <v>852</v>
      </c>
      <c r="F245" t="s">
        <v>853</v>
      </c>
      <c r="G245" t="s">
        <v>81</v>
      </c>
      <c r="H245" t="str">
        <f>IFERROR(VLOOKUP($C245,'Tantárgyi adatok'!B:F,3,FALSE),"nincs")</f>
        <v>Mechatronikai mérnök</v>
      </c>
      <c r="I245" t="s">
        <v>345</v>
      </c>
      <c r="J245" t="str">
        <f>IFERROR(VLOOKUP($C245,'Tantárgyi adatok'!B:F,4,FALSE),"nincs")</f>
        <v>MSc</v>
      </c>
      <c r="K245" t="str">
        <f>IFERROR(VLOOKUP($C245,'Tantárgyi adatok'!B:F,5,FALSE),"nincs")</f>
        <v>Mechatronic Engineering</v>
      </c>
    </row>
    <row r="246" spans="1:11" x14ac:dyDescent="0.25">
      <c r="A246" t="s">
        <v>375</v>
      </c>
      <c r="B246" t="s">
        <v>376</v>
      </c>
      <c r="C246" t="s">
        <v>39</v>
      </c>
      <c r="D246" t="str">
        <f>IFERROR(VLOOKUP($C246,'Tantárgyi adatok'!B:F,2,FALSE),"nincs")</f>
        <v>Szakdolgozat</v>
      </c>
      <c r="E246" t="s">
        <v>878</v>
      </c>
      <c r="F246" t="s">
        <v>879</v>
      </c>
      <c r="G246" t="s">
        <v>81</v>
      </c>
      <c r="H246" t="str">
        <f>IFERROR(VLOOKUP($C246,'Tantárgyi adatok'!B:F,3,FALSE),"nincs")</f>
        <v>Mechatronikai mérnök</v>
      </c>
      <c r="I246" t="s">
        <v>321</v>
      </c>
      <c r="J246" t="str">
        <f>IFERROR(VLOOKUP($C246,'Tantárgyi adatok'!B:F,4,FALSE),"nincs")</f>
        <v>BSc</v>
      </c>
      <c r="K246" t="str">
        <f>IFERROR(VLOOKUP($C246,'Tantárgyi adatok'!B:F,5,FALSE),"nincs")</f>
        <v>Electrical Engineering</v>
      </c>
    </row>
    <row r="247" spans="1:11" x14ac:dyDescent="0.25">
      <c r="A247" t="s">
        <v>647</v>
      </c>
      <c r="B247" t="s">
        <v>648</v>
      </c>
      <c r="C247" t="s">
        <v>47</v>
      </c>
      <c r="D247" t="str">
        <f>IFERROR(VLOOKUP($C247,'Tantárgyi adatok'!B:F,2,FALSE),"nincs")</f>
        <v>Szakdolgozat</v>
      </c>
      <c r="E247" t="s">
        <v>1142</v>
      </c>
      <c r="F247" t="s">
        <v>1143</v>
      </c>
      <c r="G247" t="s">
        <v>81</v>
      </c>
      <c r="H247" t="str">
        <f>IFERROR(VLOOKUP($C247,'Tantárgyi adatok'!B:F,3,FALSE),"nincs")</f>
        <v>Mérnökinformatikus</v>
      </c>
      <c r="I247" t="s">
        <v>226</v>
      </c>
      <c r="J247" t="str">
        <f>IFERROR(VLOOKUP($C247,'Tantárgyi adatok'!B:F,4,FALSE),"nincs")</f>
        <v>BSc</v>
      </c>
      <c r="K247" t="str">
        <f>IFERROR(VLOOKUP($C247,'Tantárgyi adatok'!B:F,5,FALSE),"nincs")</f>
        <v>Computer Engineering</v>
      </c>
    </row>
    <row r="248" spans="1:11" x14ac:dyDescent="0.25">
      <c r="A248" t="s">
        <v>431</v>
      </c>
      <c r="B248" t="s">
        <v>432</v>
      </c>
      <c r="C248" t="s">
        <v>41</v>
      </c>
      <c r="D248" t="str">
        <f>IFERROR(VLOOKUP($C248,'Tantárgyi adatok'!B:F,2,FALSE),"nincs")</f>
        <v>Szakdolgozat</v>
      </c>
      <c r="E248" t="s">
        <v>930</v>
      </c>
      <c r="F248" t="s">
        <v>931</v>
      </c>
      <c r="G248" t="s">
        <v>81</v>
      </c>
      <c r="H248" t="str">
        <f>IFERROR(VLOOKUP($C248,'Tantárgyi adatok'!B:F,3,FALSE),"nincs")</f>
        <v>Villamosmérnök</v>
      </c>
      <c r="I248" t="s">
        <v>304</v>
      </c>
      <c r="J248" t="str">
        <f>IFERROR(VLOOKUP($C248,'Tantárgyi adatok'!B:F,4,FALSE),"nincs")</f>
        <v>BSc</v>
      </c>
      <c r="K248" t="str">
        <f>IFERROR(VLOOKUP($C248,'Tantárgyi adatok'!B:F,5,FALSE),"nincs")</f>
        <v>Electrical Engineering</v>
      </c>
    </row>
    <row r="249" spans="1:11" x14ac:dyDescent="0.25">
      <c r="A249" t="s">
        <v>319</v>
      </c>
      <c r="B249" t="s">
        <v>320</v>
      </c>
      <c r="C249" t="s">
        <v>15</v>
      </c>
      <c r="D249" t="str">
        <f>IFERROR(VLOOKUP($C249,'Tantárgyi adatok'!B:F,2,FALSE),"nincs")</f>
        <v>Diplomatervezés</v>
      </c>
      <c r="E249" t="s">
        <v>830</v>
      </c>
      <c r="F249" t="s">
        <v>831</v>
      </c>
      <c r="G249" t="s">
        <v>81</v>
      </c>
      <c r="H249" t="str">
        <f>IFERROR(VLOOKUP($C249,'Tantárgyi adatok'!B:F,3,FALSE),"nincs")</f>
        <v>Villamosmérnök</v>
      </c>
      <c r="I249" t="s">
        <v>191</v>
      </c>
      <c r="J249" t="str">
        <f>IFERROR(VLOOKUP($C249,'Tantárgyi adatok'!B:F,4,FALSE),"nincs")</f>
        <v>MSc</v>
      </c>
      <c r="K249" t="str">
        <f>IFERROR(VLOOKUP($C249,'Tantárgyi adatok'!B:F,5,FALSE),"nincs")</f>
        <v>Electrical Engineering</v>
      </c>
    </row>
    <row r="250" spans="1:11" x14ac:dyDescent="0.25">
      <c r="A250" t="s">
        <v>649</v>
      </c>
      <c r="B250" t="s">
        <v>650</v>
      </c>
      <c r="C250" t="s">
        <v>47</v>
      </c>
      <c r="D250" t="str">
        <f>IFERROR(VLOOKUP($C250,'Tantárgyi adatok'!B:F,2,FALSE),"nincs")</f>
        <v>Szakdolgozat</v>
      </c>
      <c r="E250" t="s">
        <v>1144</v>
      </c>
      <c r="F250" t="s">
        <v>1145</v>
      </c>
      <c r="G250" t="s">
        <v>81</v>
      </c>
      <c r="H250" t="str">
        <f>IFERROR(VLOOKUP($C250,'Tantárgyi adatok'!B:F,3,FALSE),"nincs")</f>
        <v>Mérnökinformatikus</v>
      </c>
      <c r="I250" t="s">
        <v>133</v>
      </c>
      <c r="J250" t="str">
        <f>IFERROR(VLOOKUP($C250,'Tantárgyi adatok'!B:F,4,FALSE),"nincs")</f>
        <v>BSc</v>
      </c>
      <c r="K250" t="str">
        <f>IFERROR(VLOOKUP($C250,'Tantárgyi adatok'!B:F,5,FALSE),"nincs")</f>
        <v>Computer Engineering</v>
      </c>
    </row>
    <row r="251" spans="1:11" x14ac:dyDescent="0.25">
      <c r="A251" t="s">
        <v>377</v>
      </c>
      <c r="B251" t="s">
        <v>378</v>
      </c>
      <c r="C251" t="s">
        <v>39</v>
      </c>
      <c r="D251" t="str">
        <f>IFERROR(VLOOKUP($C251,'Tantárgyi adatok'!B:F,2,FALSE),"nincs")</f>
        <v>Szakdolgozat</v>
      </c>
      <c r="E251" t="s">
        <v>880</v>
      </c>
      <c r="F251" t="s">
        <v>881</v>
      </c>
      <c r="G251" t="s">
        <v>81</v>
      </c>
      <c r="H251" t="str">
        <f>IFERROR(VLOOKUP($C251,'Tantárgyi adatok'!B:F,3,FALSE),"nincs")</f>
        <v>Mechatronikai mérnök</v>
      </c>
      <c r="I251" t="s">
        <v>321</v>
      </c>
      <c r="J251" t="str">
        <f>IFERROR(VLOOKUP($C251,'Tantárgyi adatok'!B:F,4,FALSE),"nincs")</f>
        <v>BSc</v>
      </c>
      <c r="K251" t="str">
        <f>IFERROR(VLOOKUP($C251,'Tantárgyi adatok'!B:F,5,FALSE),"nincs")</f>
        <v>Electrical Engineering</v>
      </c>
    </row>
    <row r="252" spans="1:11" x14ac:dyDescent="0.25">
      <c r="A252" t="s">
        <v>433</v>
      </c>
      <c r="B252" t="s">
        <v>434</v>
      </c>
      <c r="C252" t="s">
        <v>41</v>
      </c>
      <c r="D252" t="str">
        <f>IFERROR(VLOOKUP($C252,'Tantárgyi adatok'!B:F,2,FALSE),"nincs")</f>
        <v>Szakdolgozat</v>
      </c>
      <c r="E252" t="s">
        <v>932</v>
      </c>
      <c r="F252" t="s">
        <v>933</v>
      </c>
      <c r="G252" t="s">
        <v>81</v>
      </c>
      <c r="H252" t="str">
        <f>IFERROR(VLOOKUP($C252,'Tantárgyi adatok'!B:F,3,FALSE),"nincs")</f>
        <v>Villamosmérnök</v>
      </c>
      <c r="I252" t="s">
        <v>205</v>
      </c>
      <c r="J252" t="str">
        <f>IFERROR(VLOOKUP($C252,'Tantárgyi adatok'!B:F,4,FALSE),"nincs")</f>
        <v>BSc</v>
      </c>
      <c r="K252" t="str">
        <f>IFERROR(VLOOKUP($C252,'Tantárgyi adatok'!B:F,5,FALSE),"nincs")</f>
        <v>Electrical Engineering</v>
      </c>
    </row>
    <row r="253" spans="1:11" x14ac:dyDescent="0.25">
      <c r="A253" t="s">
        <v>1176</v>
      </c>
      <c r="B253" t="s">
        <v>1177</v>
      </c>
      <c r="C253" t="s">
        <v>15</v>
      </c>
      <c r="D253" t="str">
        <f>IFERROR(VLOOKUP($C253,'Tantárgyi adatok'!B:F,2,FALSE),"nincs")</f>
        <v>Diplomatervezés</v>
      </c>
      <c r="E253" t="s">
        <v>1366</v>
      </c>
      <c r="F253" t="s">
        <v>1367</v>
      </c>
      <c r="G253" t="s">
        <v>81</v>
      </c>
      <c r="H253" t="str">
        <f>IFERROR(VLOOKUP($C253,'Tantárgyi adatok'!B:F,3,FALSE),"nincs")</f>
        <v>Villamosmérnök</v>
      </c>
      <c r="I253" t="s">
        <v>205</v>
      </c>
      <c r="J253" t="str">
        <f>IFERROR(VLOOKUP($C253,'Tantárgyi adatok'!B:F,4,FALSE),"nincs")</f>
        <v>MSc</v>
      </c>
      <c r="K253" t="str">
        <f>IFERROR(VLOOKUP($C253,'Tantárgyi adatok'!B:F,5,FALSE),"nincs")</f>
        <v>Electrical Engineering</v>
      </c>
    </row>
    <row r="254" spans="1:11" x14ac:dyDescent="0.25">
      <c r="A254" t="s">
        <v>651</v>
      </c>
      <c r="B254" t="s">
        <v>652</v>
      </c>
      <c r="C254" t="s">
        <v>47</v>
      </c>
      <c r="D254" t="str">
        <f>IFERROR(VLOOKUP($C254,'Tantárgyi adatok'!B:F,2,FALSE),"nincs")</f>
        <v>Szakdolgozat</v>
      </c>
      <c r="E254" t="s">
        <v>1146</v>
      </c>
      <c r="F254" t="s">
        <v>1147</v>
      </c>
      <c r="G254" t="s">
        <v>81</v>
      </c>
      <c r="H254" t="str">
        <f>IFERROR(VLOOKUP($C254,'Tantárgyi adatok'!B:F,3,FALSE),"nincs")</f>
        <v>Mérnökinformatikus</v>
      </c>
      <c r="I254" t="s">
        <v>141</v>
      </c>
      <c r="J254" t="str">
        <f>IFERROR(VLOOKUP($C254,'Tantárgyi adatok'!B:F,4,FALSE),"nincs")</f>
        <v>BSc</v>
      </c>
      <c r="K254" t="str">
        <f>IFERROR(VLOOKUP($C254,'Tantárgyi adatok'!B:F,5,FALSE),"nincs")</f>
        <v>Computer Engineering</v>
      </c>
    </row>
    <row r="255" spans="1:11" x14ac:dyDescent="0.25">
      <c r="A255" t="s">
        <v>266</v>
      </c>
      <c r="B255" t="s">
        <v>267</v>
      </c>
      <c r="C255" t="s">
        <v>11</v>
      </c>
      <c r="D255" t="str">
        <f>IFERROR(VLOOKUP($C255,'Tantárgyi adatok'!B:F,2,FALSE),"nincs")</f>
        <v>Diplomatervezés</v>
      </c>
      <c r="E255" t="s">
        <v>785</v>
      </c>
      <c r="F255" t="s">
        <v>786</v>
      </c>
      <c r="G255" t="s">
        <v>81</v>
      </c>
      <c r="H255" t="str">
        <f>IFERROR(VLOOKUP($C255,'Tantárgyi adatok'!B:F,3,FALSE),"nincs")</f>
        <v>Mérnökinformatikus</v>
      </c>
      <c r="I255" t="s">
        <v>138</v>
      </c>
      <c r="J255" t="str">
        <f>IFERROR(VLOOKUP($C255,'Tantárgyi adatok'!B:F,4,FALSE),"nincs")</f>
        <v>MSc</v>
      </c>
      <c r="K255" t="str">
        <f>IFERROR(VLOOKUP($C255,'Tantárgyi adatok'!B:F,5,FALSE),"nincs")</f>
        <v>Computer Engineering</v>
      </c>
    </row>
    <row r="256" spans="1:11" x14ac:dyDescent="0.25">
      <c r="A256" t="s">
        <v>268</v>
      </c>
      <c r="B256" t="s">
        <v>269</v>
      </c>
      <c r="C256" t="s">
        <v>11</v>
      </c>
      <c r="D256" t="str">
        <f>IFERROR(VLOOKUP($C256,'Tantárgyi adatok'!B:F,2,FALSE),"nincs")</f>
        <v>Diplomatervezés</v>
      </c>
      <c r="E256" t="s">
        <v>787</v>
      </c>
      <c r="F256" t="s">
        <v>788</v>
      </c>
      <c r="G256" t="s">
        <v>81</v>
      </c>
      <c r="H256" t="str">
        <f>IFERROR(VLOOKUP($C256,'Tantárgyi adatok'!B:F,3,FALSE),"nincs")</f>
        <v>Mérnökinformatikus</v>
      </c>
      <c r="I256" t="s">
        <v>104</v>
      </c>
      <c r="J256" t="str">
        <f>IFERROR(VLOOKUP($C256,'Tantárgyi adatok'!B:F,4,FALSE),"nincs")</f>
        <v>MSc</v>
      </c>
      <c r="K256" t="str">
        <f>IFERROR(VLOOKUP($C256,'Tantárgyi adatok'!B:F,5,FALSE),"nincs")</f>
        <v>Computer Engineering</v>
      </c>
    </row>
    <row r="257" spans="1:11" x14ac:dyDescent="0.25">
      <c r="A257" t="s">
        <v>270</v>
      </c>
      <c r="B257" t="s">
        <v>271</v>
      </c>
      <c r="C257" t="s">
        <v>11</v>
      </c>
      <c r="D257" t="str">
        <f>IFERROR(VLOOKUP($C257,'Tantárgyi adatok'!B:F,2,FALSE),"nincs")</f>
        <v>Diplomatervezés</v>
      </c>
      <c r="E257" t="s">
        <v>789</v>
      </c>
      <c r="F257" t="s">
        <v>790</v>
      </c>
      <c r="G257" t="s">
        <v>791</v>
      </c>
      <c r="H257" t="str">
        <f>IFERROR(VLOOKUP($C257,'Tantárgyi adatok'!B:F,3,FALSE),"nincs")</f>
        <v>Mérnökinformatikus</v>
      </c>
      <c r="I257" t="s">
        <v>104</v>
      </c>
      <c r="J257" t="str">
        <f>IFERROR(VLOOKUP($C257,'Tantárgyi adatok'!B:F,4,FALSE),"nincs")</f>
        <v>MSc</v>
      </c>
      <c r="K257" t="str">
        <f>IFERROR(VLOOKUP($C257,'Tantárgyi adatok'!B:F,5,FALSE),"nincs")</f>
        <v>Computer Engineering</v>
      </c>
    </row>
    <row r="258" spans="1:11" x14ac:dyDescent="0.25">
      <c r="A258" t="s">
        <v>653</v>
      </c>
      <c r="B258" t="s">
        <v>654</v>
      </c>
      <c r="C258" t="s">
        <v>47</v>
      </c>
      <c r="D258" t="str">
        <f>IFERROR(VLOOKUP($C258,'Tantárgyi adatok'!B:F,2,FALSE),"nincs")</f>
        <v>Szakdolgozat</v>
      </c>
      <c r="E258" t="s">
        <v>1148</v>
      </c>
      <c r="F258" t="s">
        <v>1149</v>
      </c>
      <c r="G258" t="s">
        <v>81</v>
      </c>
      <c r="H258" t="str">
        <f>IFERROR(VLOOKUP($C258,'Tantárgyi adatok'!B:F,3,FALSE),"nincs")</f>
        <v>Mérnökinformatikus</v>
      </c>
      <c r="I258" t="s">
        <v>104</v>
      </c>
      <c r="J258" t="str">
        <f>IFERROR(VLOOKUP($C258,'Tantárgyi adatok'!B:F,4,FALSE),"nincs")</f>
        <v>BSc</v>
      </c>
      <c r="K258" t="str">
        <f>IFERROR(VLOOKUP($C258,'Tantárgyi adatok'!B:F,5,FALSE),"nincs")</f>
        <v>Computer Engineering</v>
      </c>
    </row>
    <row r="259" spans="1:11" x14ac:dyDescent="0.25">
      <c r="A259" t="s">
        <v>655</v>
      </c>
      <c r="B259" t="s">
        <v>656</v>
      </c>
      <c r="C259" t="s">
        <v>47</v>
      </c>
      <c r="D259" t="str">
        <f>IFERROR(VLOOKUP($C259,'Tantárgyi adatok'!B:F,2,FALSE),"nincs")</f>
        <v>Szakdolgozat</v>
      </c>
      <c r="E259" t="s">
        <v>1150</v>
      </c>
      <c r="F259" t="s">
        <v>1151</v>
      </c>
      <c r="G259" t="s">
        <v>81</v>
      </c>
      <c r="H259" t="str">
        <f>IFERROR(VLOOKUP($C259,'Tantárgyi adatok'!B:F,3,FALSE),"nincs")</f>
        <v>Mérnökinformatikus</v>
      </c>
      <c r="I259" t="s">
        <v>104</v>
      </c>
      <c r="J259" t="str">
        <f>IFERROR(VLOOKUP($C259,'Tantárgyi adatok'!B:F,4,FALSE),"nincs")</f>
        <v>BSc</v>
      </c>
      <c r="K259" t="str">
        <f>IFERROR(VLOOKUP($C259,'Tantárgyi adatok'!B:F,5,FALSE),"nincs")</f>
        <v>Computer Engineering</v>
      </c>
    </row>
    <row r="260" spans="1:11" x14ac:dyDescent="0.25">
      <c r="A260" t="s">
        <v>502</v>
      </c>
      <c r="B260" t="s">
        <v>503</v>
      </c>
      <c r="C260" t="s">
        <v>45</v>
      </c>
      <c r="D260" t="str">
        <f>IFERROR(VLOOKUP($C260,'Tantárgyi adatok'!B:F,2,FALSE),"nincs")</f>
        <v>Szakdolgozat</v>
      </c>
      <c r="E260" t="s">
        <v>1000</v>
      </c>
      <c r="F260" t="s">
        <v>1001</v>
      </c>
      <c r="G260" t="s">
        <v>81</v>
      </c>
      <c r="H260" t="str">
        <f>IFERROR(VLOOKUP($C260,'Tantárgyi adatok'!B:F,3,FALSE),"nincs")</f>
        <v>Mérnökinformatikus</v>
      </c>
      <c r="I260" t="s">
        <v>104</v>
      </c>
      <c r="J260" t="str">
        <f>IFERROR(VLOOKUP($C260,'Tantárgyi adatok'!B:F,4,FALSE),"nincs")</f>
        <v>BSc</v>
      </c>
      <c r="K260" t="str">
        <f>IFERROR(VLOOKUP($C260,'Tantárgyi adatok'!B:F,5,FALSE),"nincs")</f>
        <v>Computer Engineering</v>
      </c>
    </row>
    <row r="261" spans="1:11" x14ac:dyDescent="0.25">
      <c r="A261" t="s">
        <v>272</v>
      </c>
      <c r="B261" t="s">
        <v>273</v>
      </c>
      <c r="C261" t="s">
        <v>11</v>
      </c>
      <c r="D261" t="str">
        <f>IFERROR(VLOOKUP($C261,'Tantárgyi adatok'!B:F,2,FALSE),"nincs")</f>
        <v>Diplomatervezés</v>
      </c>
      <c r="E261" t="s">
        <v>792</v>
      </c>
      <c r="F261" t="s">
        <v>793</v>
      </c>
      <c r="G261" t="s">
        <v>81</v>
      </c>
      <c r="H261" t="str">
        <f>IFERROR(VLOOKUP($C261,'Tantárgyi adatok'!B:F,3,FALSE),"nincs")</f>
        <v>Mérnökinformatikus</v>
      </c>
      <c r="I261" t="s">
        <v>184</v>
      </c>
      <c r="J261" t="str">
        <f>IFERROR(VLOOKUP($C261,'Tantárgyi adatok'!B:F,4,FALSE),"nincs")</f>
        <v>MSc</v>
      </c>
      <c r="K261" t="str">
        <f>IFERROR(VLOOKUP($C261,'Tantárgyi adatok'!B:F,5,FALSE),"nincs")</f>
        <v>Computer Engineering</v>
      </c>
    </row>
    <row r="262" spans="1:11" x14ac:dyDescent="0.25">
      <c r="A262" t="s">
        <v>657</v>
      </c>
      <c r="B262" t="s">
        <v>658</v>
      </c>
      <c r="C262" t="s">
        <v>47</v>
      </c>
      <c r="D262" t="str">
        <f>IFERROR(VLOOKUP($C262,'Tantárgyi adatok'!B:F,2,FALSE),"nincs")</f>
        <v>Szakdolgozat</v>
      </c>
      <c r="E262" t="s">
        <v>1152</v>
      </c>
      <c r="F262" t="s">
        <v>1153</v>
      </c>
      <c r="G262" t="s">
        <v>81</v>
      </c>
      <c r="H262" t="str">
        <f>IFERROR(VLOOKUP($C262,'Tantárgyi adatok'!B:F,3,FALSE),"nincs")</f>
        <v>Mérnökinformatikus</v>
      </c>
      <c r="I262" t="s">
        <v>487</v>
      </c>
      <c r="J262" t="str">
        <f>IFERROR(VLOOKUP($C262,'Tantárgyi adatok'!B:F,4,FALSE),"nincs")</f>
        <v>BSc</v>
      </c>
      <c r="K262" t="str">
        <f>IFERROR(VLOOKUP($C262,'Tantárgyi adatok'!B:F,5,FALSE),"nincs")</f>
        <v>Computer Engineering</v>
      </c>
    </row>
    <row r="263" spans="1:11" x14ac:dyDescent="0.25">
      <c r="A263" t="s">
        <v>435</v>
      </c>
      <c r="B263" t="s">
        <v>436</v>
      </c>
      <c r="C263" t="s">
        <v>41</v>
      </c>
      <c r="D263" t="str">
        <f>IFERROR(VLOOKUP($C263,'Tantárgyi adatok'!B:F,2,FALSE),"nincs")</f>
        <v>Szakdolgozat</v>
      </c>
      <c r="E263" t="s">
        <v>934</v>
      </c>
      <c r="F263" t="s">
        <v>935</v>
      </c>
      <c r="G263" t="s">
        <v>791</v>
      </c>
      <c r="H263" t="str">
        <f>IFERROR(VLOOKUP($C263,'Tantárgyi adatok'!B:F,3,FALSE),"nincs")</f>
        <v>Villamosmérnök</v>
      </c>
      <c r="I263" t="s">
        <v>295</v>
      </c>
      <c r="J263" t="str">
        <f>IFERROR(VLOOKUP($C263,'Tantárgyi adatok'!B:F,4,FALSE),"nincs")</f>
        <v>BSc</v>
      </c>
      <c r="K263" t="str">
        <f>IFERROR(VLOOKUP($C263,'Tantárgyi adatok'!B:F,5,FALSE),"nincs")</f>
        <v>Electrical Engineering</v>
      </c>
    </row>
    <row r="264" spans="1:11" x14ac:dyDescent="0.25">
      <c r="A264" t="s">
        <v>659</v>
      </c>
      <c r="B264" t="s">
        <v>660</v>
      </c>
      <c r="C264" t="s">
        <v>47</v>
      </c>
      <c r="D264" t="str">
        <f>IFERROR(VLOOKUP($C264,'Tantárgyi adatok'!B:F,2,FALSE),"nincs")</f>
        <v>Szakdolgozat</v>
      </c>
      <c r="E264" t="s">
        <v>1154</v>
      </c>
      <c r="F264" t="s">
        <v>1155</v>
      </c>
      <c r="G264" t="s">
        <v>81</v>
      </c>
      <c r="H264" t="str">
        <f>IFERROR(VLOOKUP($C264,'Tantárgyi adatok'!B:F,3,FALSE),"nincs")</f>
        <v>Mérnökinformatikus</v>
      </c>
      <c r="I264" t="s">
        <v>202</v>
      </c>
      <c r="J264" t="str">
        <f>IFERROR(VLOOKUP($C264,'Tantárgyi adatok'!B:F,4,FALSE),"nincs")</f>
        <v>BSc</v>
      </c>
      <c r="K264" t="str">
        <f>IFERROR(VLOOKUP($C264,'Tantárgyi adatok'!B:F,5,FALSE),"nincs")</f>
        <v>Computer Engineering</v>
      </c>
    </row>
    <row r="265" spans="1:11" x14ac:dyDescent="0.25">
      <c r="A265" t="s">
        <v>661</v>
      </c>
      <c r="B265" t="s">
        <v>662</v>
      </c>
      <c r="C265" t="s">
        <v>47</v>
      </c>
      <c r="D265" t="str">
        <f>IFERROR(VLOOKUP($C265,'Tantárgyi adatok'!B:F,2,FALSE),"nincs")</f>
        <v>Szakdolgozat</v>
      </c>
      <c r="E265" t="s">
        <v>1156</v>
      </c>
      <c r="F265" t="s">
        <v>1157</v>
      </c>
      <c r="G265" t="s">
        <v>791</v>
      </c>
      <c r="H265" t="str">
        <f>IFERROR(VLOOKUP($C265,'Tantárgyi adatok'!B:F,3,FALSE),"nincs")</f>
        <v>Mérnökinformatikus</v>
      </c>
      <c r="I265" t="s">
        <v>135</v>
      </c>
      <c r="J265" t="str">
        <f>IFERROR(VLOOKUP($C265,'Tantárgyi adatok'!B:F,4,FALSE),"nincs")</f>
        <v>BSc</v>
      </c>
      <c r="K265" t="str">
        <f>IFERROR(VLOOKUP($C265,'Tantárgyi adatok'!B:F,5,FALSE),"nincs")</f>
        <v>Computer Engineering</v>
      </c>
    </row>
    <row r="266" spans="1:11" x14ac:dyDescent="0.25">
      <c r="A266" t="s">
        <v>663</v>
      </c>
      <c r="B266" t="s">
        <v>664</v>
      </c>
      <c r="C266" t="s">
        <v>47</v>
      </c>
      <c r="D266" t="str">
        <f>IFERROR(VLOOKUP($C266,'Tantárgyi adatok'!B:F,2,FALSE),"nincs")</f>
        <v>Szakdolgozat</v>
      </c>
      <c r="E266" t="s">
        <v>1158</v>
      </c>
      <c r="F266" t="s">
        <v>1158</v>
      </c>
      <c r="G266" t="s">
        <v>791</v>
      </c>
      <c r="H266" t="str">
        <f>IFERROR(VLOOKUP($C266,'Tantárgyi adatok'!B:F,3,FALSE),"nincs")</f>
        <v>Mérnökinformatikus</v>
      </c>
      <c r="I266" t="s">
        <v>508</v>
      </c>
      <c r="J266" t="str">
        <f>IFERROR(VLOOKUP($C266,'Tantárgyi adatok'!B:F,4,FALSE),"nincs")</f>
        <v>BSc</v>
      </c>
      <c r="K266" t="str">
        <f>IFERROR(VLOOKUP($C266,'Tantárgyi adatok'!B:F,5,FALSE),"nincs")</f>
        <v>Computer Engineering</v>
      </c>
    </row>
    <row r="267" spans="1:11" x14ac:dyDescent="0.25">
      <c r="A267" t="s">
        <v>665</v>
      </c>
      <c r="B267" t="s">
        <v>666</v>
      </c>
      <c r="C267" t="s">
        <v>47</v>
      </c>
      <c r="D267" t="str">
        <f>IFERROR(VLOOKUP($C267,'Tantárgyi adatok'!B:F,2,FALSE),"nincs")</f>
        <v>Szakdolgozat</v>
      </c>
      <c r="E267" t="s">
        <v>1159</v>
      </c>
      <c r="F267" t="s">
        <v>1160</v>
      </c>
      <c r="G267" t="s">
        <v>791</v>
      </c>
      <c r="H267" t="str">
        <f>IFERROR(VLOOKUP($C267,'Tantárgyi adatok'!B:F,3,FALSE),"nincs")</f>
        <v>Mérnökinformatikus</v>
      </c>
      <c r="I267" t="s">
        <v>168</v>
      </c>
      <c r="J267" t="str">
        <f>IFERROR(VLOOKUP($C267,'Tantárgyi adatok'!B:F,4,FALSE),"nincs")</f>
        <v>BSc</v>
      </c>
      <c r="K267" t="str">
        <f>IFERROR(VLOOKUP($C267,'Tantárgyi adatok'!B:F,5,FALSE),"nincs")</f>
        <v>Computer Engineering</v>
      </c>
    </row>
    <row r="268" spans="1:11" x14ac:dyDescent="0.25">
      <c r="A268" t="s">
        <v>667</v>
      </c>
      <c r="B268" t="s">
        <v>668</v>
      </c>
      <c r="C268" t="s">
        <v>47</v>
      </c>
      <c r="D268" t="str">
        <f>IFERROR(VLOOKUP($C268,'Tantárgyi adatok'!B:F,2,FALSE),"nincs")</f>
        <v>Szakdolgozat</v>
      </c>
      <c r="E268" t="s">
        <v>1161</v>
      </c>
      <c r="F268" t="s">
        <v>1161</v>
      </c>
      <c r="G268" t="s">
        <v>791</v>
      </c>
      <c r="H268" t="str">
        <f>IFERROR(VLOOKUP($C268,'Tantárgyi adatok'!B:F,3,FALSE),"nincs")</f>
        <v>Mérnökinformatikus</v>
      </c>
      <c r="I268" t="s">
        <v>508</v>
      </c>
      <c r="J268" t="str">
        <f>IFERROR(VLOOKUP($C268,'Tantárgyi adatok'!B:F,4,FALSE),"nincs")</f>
        <v>BSc</v>
      </c>
      <c r="K268" t="str">
        <f>IFERROR(VLOOKUP($C268,'Tantárgyi adatok'!B:F,5,FALSE),"nincs")</f>
        <v>Computer Engineering</v>
      </c>
    </row>
    <row r="269" spans="1:11" x14ac:dyDescent="0.25">
      <c r="A269" t="s">
        <v>669</v>
      </c>
      <c r="B269" t="s">
        <v>670</v>
      </c>
      <c r="C269" t="s">
        <v>47</v>
      </c>
      <c r="D269" t="str">
        <f>IFERROR(VLOOKUP($C269,'Tantárgyi adatok'!B:F,2,FALSE),"nincs")</f>
        <v>Szakdolgozat</v>
      </c>
      <c r="E269" t="s">
        <v>1162</v>
      </c>
      <c r="F269" t="s">
        <v>1162</v>
      </c>
      <c r="G269" t="s">
        <v>791</v>
      </c>
      <c r="H269" t="str">
        <f>IFERROR(VLOOKUP($C269,'Tantárgyi adatok'!B:F,3,FALSE),"nincs")</f>
        <v>Mérnökinformatikus</v>
      </c>
      <c r="I269" t="s">
        <v>508</v>
      </c>
      <c r="J269" t="str">
        <f>IFERROR(VLOOKUP($C269,'Tantárgyi adatok'!B:F,4,FALSE),"nincs")</f>
        <v>BSc</v>
      </c>
      <c r="K269" t="str">
        <f>IFERROR(VLOOKUP($C269,'Tantárgyi adatok'!B:F,5,FALSE),"nincs")</f>
        <v>Computer Engineering</v>
      </c>
    </row>
    <row r="270" spans="1:11" x14ac:dyDescent="0.25">
      <c r="A270" t="s">
        <v>671</v>
      </c>
      <c r="B270" t="s">
        <v>672</v>
      </c>
      <c r="C270" t="s">
        <v>47</v>
      </c>
      <c r="D270" t="str">
        <f>IFERROR(VLOOKUP($C270,'Tantárgyi adatok'!B:F,2,FALSE),"nincs")</f>
        <v>Szakdolgozat</v>
      </c>
      <c r="E270" t="s">
        <v>1163</v>
      </c>
      <c r="F270" t="s">
        <v>1164</v>
      </c>
      <c r="G270" t="s">
        <v>791</v>
      </c>
      <c r="H270" t="str">
        <f>IFERROR(VLOOKUP($C270,'Tantárgyi adatok'!B:F,3,FALSE),"nincs")</f>
        <v>Mérnökinformatikus</v>
      </c>
      <c r="I270" t="s">
        <v>168</v>
      </c>
      <c r="J270" t="str">
        <f>IFERROR(VLOOKUP($C270,'Tantárgyi adatok'!B:F,4,FALSE),"nincs")</f>
        <v>BSc</v>
      </c>
      <c r="K270" t="str">
        <f>IFERROR(VLOOKUP($C270,'Tantárgyi adatok'!B:F,5,FALSE),"nincs")</f>
        <v>Computer Engineering</v>
      </c>
    </row>
    <row r="271" spans="1:11" x14ac:dyDescent="0.25">
      <c r="A271" t="s">
        <v>504</v>
      </c>
      <c r="B271" t="s">
        <v>505</v>
      </c>
      <c r="C271" t="s">
        <v>45</v>
      </c>
      <c r="D271" t="str">
        <f>IFERROR(VLOOKUP($C271,'Tantárgyi adatok'!B:F,2,FALSE),"nincs")</f>
        <v>Szakdolgozat</v>
      </c>
      <c r="E271" t="s">
        <v>1002</v>
      </c>
      <c r="F271" t="s">
        <v>1003</v>
      </c>
      <c r="G271" t="s">
        <v>791</v>
      </c>
      <c r="H271" t="str">
        <f>IFERROR(VLOOKUP($C271,'Tantárgyi adatok'!B:F,3,FALSE),"nincs")</f>
        <v>Mérnökinformatikus</v>
      </c>
      <c r="I271" t="s">
        <v>136</v>
      </c>
      <c r="J271" t="str">
        <f>IFERROR(VLOOKUP($C271,'Tantárgyi adatok'!B:F,4,FALSE),"nincs")</f>
        <v>BSc</v>
      </c>
      <c r="K271" t="str">
        <f>IFERROR(VLOOKUP($C271,'Tantárgyi adatok'!B:F,5,FALSE),"nincs")</f>
        <v>Computer Engineering</v>
      </c>
    </row>
    <row r="272" spans="1:11" x14ac:dyDescent="0.25">
      <c r="A272" t="s">
        <v>673</v>
      </c>
      <c r="B272" t="s">
        <v>674</v>
      </c>
      <c r="C272" t="s">
        <v>47</v>
      </c>
      <c r="D272" t="str">
        <f>IFERROR(VLOOKUP($C272,'Tantárgyi adatok'!B:F,2,FALSE),"nincs")</f>
        <v>Szakdolgozat</v>
      </c>
      <c r="E272" t="s">
        <v>1165</v>
      </c>
      <c r="F272" t="s">
        <v>1166</v>
      </c>
      <c r="G272" t="s">
        <v>791</v>
      </c>
      <c r="H272" t="str">
        <f>IFERROR(VLOOKUP($C272,'Tantárgyi adatok'!B:F,3,FALSE),"nincs")</f>
        <v>Mérnökinformatikus</v>
      </c>
      <c r="I272" t="s">
        <v>168</v>
      </c>
      <c r="J272" t="str">
        <f>IFERROR(VLOOKUP($C272,'Tantárgyi adatok'!B:F,4,FALSE),"nincs")</f>
        <v>BSc</v>
      </c>
      <c r="K272" t="str">
        <f>IFERROR(VLOOKUP($C272,'Tantárgyi adatok'!B:F,5,FALSE),"nincs")</f>
        <v>Computer Engineering</v>
      </c>
    </row>
    <row r="273" spans="1:11" x14ac:dyDescent="0.25">
      <c r="A273" t="s">
        <v>506</v>
      </c>
      <c r="B273" t="s">
        <v>507</v>
      </c>
      <c r="C273" t="s">
        <v>45</v>
      </c>
      <c r="D273" t="str">
        <f>IFERROR(VLOOKUP($C273,'Tantárgyi adatok'!B:F,2,FALSE),"nincs")</f>
        <v>Szakdolgozat</v>
      </c>
      <c r="E273" t="s">
        <v>1004</v>
      </c>
      <c r="F273" t="s">
        <v>1004</v>
      </c>
      <c r="G273" t="s">
        <v>791</v>
      </c>
      <c r="H273" t="str">
        <f>IFERROR(VLOOKUP($C273,'Tantárgyi adatok'!B:F,3,FALSE),"nincs")</f>
        <v>Mérnökinformatikus</v>
      </c>
      <c r="I273" t="s">
        <v>508</v>
      </c>
      <c r="J273" t="str">
        <f>IFERROR(VLOOKUP($C273,'Tantárgyi adatok'!B:F,4,FALSE),"nincs")</f>
        <v>BSc</v>
      </c>
      <c r="K273" t="str">
        <f>IFERROR(VLOOKUP($C273,'Tantárgyi adatok'!B:F,5,FALSE),"nincs")</f>
        <v>Computer Engineering</v>
      </c>
    </row>
    <row r="274" spans="1:11" x14ac:dyDescent="0.25">
      <c r="A274" t="s">
        <v>437</v>
      </c>
      <c r="B274" t="s">
        <v>438</v>
      </c>
      <c r="C274" t="s">
        <v>41</v>
      </c>
      <c r="D274" t="str">
        <f>IFERROR(VLOOKUP($C274,'Tantárgyi adatok'!B:F,2,FALSE),"nincs")</f>
        <v>Szakdolgozat</v>
      </c>
      <c r="E274" t="s">
        <v>936</v>
      </c>
      <c r="F274" t="s">
        <v>937</v>
      </c>
      <c r="G274" t="s">
        <v>791</v>
      </c>
      <c r="H274" t="str">
        <f>IFERROR(VLOOKUP($C274,'Tantárgyi adatok'!B:F,3,FALSE),"nincs")</f>
        <v>Villamosmérnök</v>
      </c>
      <c r="I274" t="s">
        <v>148</v>
      </c>
      <c r="J274" t="str">
        <f>IFERROR(VLOOKUP($C274,'Tantárgyi adatok'!B:F,4,FALSE),"nincs")</f>
        <v>BSc</v>
      </c>
      <c r="K274" t="str">
        <f>IFERROR(VLOOKUP($C274,'Tantárgyi adatok'!B:F,5,FALSE),"nincs")</f>
        <v>Electrical Engineering</v>
      </c>
    </row>
    <row r="275" spans="1:11" x14ac:dyDescent="0.25">
      <c r="A275" t="s">
        <v>439</v>
      </c>
      <c r="B275" t="s">
        <v>440</v>
      </c>
      <c r="C275" t="s">
        <v>41</v>
      </c>
      <c r="D275" t="str">
        <f>IFERROR(VLOOKUP($C275,'Tantárgyi adatok'!B:F,2,FALSE),"nincs")</f>
        <v>Szakdolgozat</v>
      </c>
      <c r="E275" t="s">
        <v>938</v>
      </c>
      <c r="F275" t="s">
        <v>939</v>
      </c>
      <c r="G275" t="s">
        <v>791</v>
      </c>
      <c r="H275" t="str">
        <f>IFERROR(VLOOKUP($C275,'Tantárgyi adatok'!B:F,3,FALSE),"nincs")</f>
        <v>Villamosmérnök</v>
      </c>
      <c r="I275" t="s">
        <v>148</v>
      </c>
      <c r="J275" t="str">
        <f>IFERROR(VLOOKUP($C275,'Tantárgyi adatok'!B:F,4,FALSE),"nincs")</f>
        <v>BSc</v>
      </c>
      <c r="K275" t="str">
        <f>IFERROR(VLOOKUP($C275,'Tantárgyi adatok'!B:F,5,FALSE),"nincs")</f>
        <v>Electrical Engineering</v>
      </c>
    </row>
    <row r="276" spans="1:11" x14ac:dyDescent="0.25">
      <c r="A276" t="s">
        <v>675</v>
      </c>
      <c r="B276" t="s">
        <v>676</v>
      </c>
      <c r="C276" t="s">
        <v>47</v>
      </c>
      <c r="D276" t="str">
        <f>IFERROR(VLOOKUP($C276,'Tantárgyi adatok'!B:F,2,FALSE),"nincs")</f>
        <v>Szakdolgozat</v>
      </c>
      <c r="E276" t="s">
        <v>1167</v>
      </c>
      <c r="F276" t="s">
        <v>1167</v>
      </c>
      <c r="G276" t="s">
        <v>791</v>
      </c>
      <c r="H276" t="str">
        <f>IFERROR(VLOOKUP($C276,'Tantárgyi adatok'!B:F,3,FALSE),"nincs")</f>
        <v>Mérnökinformatikus</v>
      </c>
      <c r="I276" t="s">
        <v>508</v>
      </c>
      <c r="J276" t="str">
        <f>IFERROR(VLOOKUP($C276,'Tantárgyi adatok'!B:F,4,FALSE),"nincs")</f>
        <v>BSc</v>
      </c>
      <c r="K276" t="str">
        <f>IFERROR(VLOOKUP($C276,'Tantárgyi adatok'!B:F,5,FALSE),"nincs")</f>
        <v>Computer Engineering</v>
      </c>
    </row>
    <row r="277" spans="1:11" x14ac:dyDescent="0.25">
      <c r="A277" t="s">
        <v>509</v>
      </c>
      <c r="B277" t="s">
        <v>510</v>
      </c>
      <c r="C277" t="s">
        <v>45</v>
      </c>
      <c r="D277" t="str">
        <f>IFERROR(VLOOKUP($C277,'Tantárgyi adatok'!B:F,2,FALSE),"nincs")</f>
        <v>Szakdolgozat</v>
      </c>
      <c r="E277" t="s">
        <v>1005</v>
      </c>
      <c r="F277" t="s">
        <v>1006</v>
      </c>
      <c r="G277" t="s">
        <v>791</v>
      </c>
      <c r="H277" t="str">
        <f>IFERROR(VLOOKUP($C277,'Tantárgyi adatok'!B:F,3,FALSE),"nincs")</f>
        <v>Mérnökinformatikus</v>
      </c>
      <c r="I277" t="s">
        <v>134</v>
      </c>
      <c r="J277" t="str">
        <f>IFERROR(VLOOKUP($C277,'Tantárgyi adatok'!B:F,4,FALSE),"nincs")</f>
        <v>BSc</v>
      </c>
      <c r="K277" t="str">
        <f>IFERROR(VLOOKUP($C277,'Tantárgyi adatok'!B:F,5,FALSE),"nincs")</f>
        <v>Computer Engineering</v>
      </c>
    </row>
    <row r="278" spans="1:11" x14ac:dyDescent="0.25">
      <c r="A278" t="s">
        <v>677</v>
      </c>
      <c r="B278" t="s">
        <v>678</v>
      </c>
      <c r="C278" t="s">
        <v>47</v>
      </c>
      <c r="D278" t="str">
        <f>IFERROR(VLOOKUP($C278,'Tantárgyi adatok'!B:F,2,FALSE),"nincs")</f>
        <v>Szakdolgozat</v>
      </c>
      <c r="E278" t="s">
        <v>1138</v>
      </c>
      <c r="F278" t="s">
        <v>1139</v>
      </c>
      <c r="G278" t="s">
        <v>791</v>
      </c>
      <c r="H278" t="str">
        <f>IFERROR(VLOOKUP($C278,'Tantárgyi adatok'!B:F,3,FALSE),"nincs")</f>
        <v>Mérnökinformatikus</v>
      </c>
      <c r="I278" t="s">
        <v>134</v>
      </c>
      <c r="J278" t="str">
        <f>IFERROR(VLOOKUP($C278,'Tantárgyi adatok'!B:F,4,FALSE),"nincs")</f>
        <v>BSc</v>
      </c>
      <c r="K278" t="str">
        <f>IFERROR(VLOOKUP($C278,'Tantárgyi adatok'!B:F,5,FALSE),"nincs")</f>
        <v>Computer Engineering</v>
      </c>
    </row>
    <row r="279" spans="1:11" x14ac:dyDescent="0.25">
      <c r="A279" t="s">
        <v>679</v>
      </c>
      <c r="B279" t="s">
        <v>680</v>
      </c>
      <c r="C279" t="s">
        <v>47</v>
      </c>
      <c r="D279" t="str">
        <f>IFERROR(VLOOKUP($C279,'Tantárgyi adatok'!B:F,2,FALSE),"nincs")</f>
        <v>Szakdolgozat</v>
      </c>
      <c r="E279" t="s">
        <v>1168</v>
      </c>
      <c r="F279" t="s">
        <v>1168</v>
      </c>
      <c r="G279" t="s">
        <v>791</v>
      </c>
      <c r="H279" t="str">
        <f>IFERROR(VLOOKUP($C279,'Tantárgyi adatok'!B:F,3,FALSE),"nincs")</f>
        <v>Mérnökinformatikus</v>
      </c>
      <c r="I279" t="s">
        <v>508</v>
      </c>
      <c r="J279" t="str">
        <f>IFERROR(VLOOKUP($C279,'Tantárgyi adatok'!B:F,4,FALSE),"nincs")</f>
        <v>BSc</v>
      </c>
      <c r="K279" t="str">
        <f>IFERROR(VLOOKUP($C279,'Tantárgyi adatok'!B:F,5,FALSE),"nincs")</f>
        <v>Computer Engineering</v>
      </c>
    </row>
    <row r="280" spans="1:11" x14ac:dyDescent="0.25">
      <c r="A280" t="s">
        <v>681</v>
      </c>
      <c r="B280" t="s">
        <v>682</v>
      </c>
      <c r="C280" t="s">
        <v>47</v>
      </c>
      <c r="D280" t="str">
        <f>IFERROR(VLOOKUP($C280,'Tantárgyi adatok'!B:F,2,FALSE),"nincs")</f>
        <v>Szakdolgozat</v>
      </c>
      <c r="E280" t="s">
        <v>1169</v>
      </c>
      <c r="F280" t="s">
        <v>1169</v>
      </c>
      <c r="G280" t="s">
        <v>81</v>
      </c>
      <c r="H280" t="str">
        <f>IFERROR(VLOOKUP($C280,'Tantárgyi adatok'!B:F,3,FALSE),"nincs")</f>
        <v>Mérnökinformatikus</v>
      </c>
      <c r="I280" t="s">
        <v>508</v>
      </c>
      <c r="J280" t="str">
        <f>IFERROR(VLOOKUP($C280,'Tantárgyi adatok'!B:F,4,FALSE),"nincs")</f>
        <v>BSc</v>
      </c>
      <c r="K280" t="str">
        <f>IFERROR(VLOOKUP($C280,'Tantárgyi adatok'!B:F,5,FALSE),"nincs")</f>
        <v>Computer Engineering</v>
      </c>
    </row>
    <row r="281" spans="1:11" x14ac:dyDescent="0.25">
      <c r="A281" t="s">
        <v>683</v>
      </c>
      <c r="B281" t="s">
        <v>684</v>
      </c>
      <c r="C281" t="s">
        <v>47</v>
      </c>
      <c r="D281" t="str">
        <f>IFERROR(VLOOKUP($C281,'Tantárgyi adatok'!B:F,2,FALSE),"nincs")</f>
        <v>Szakdolgozat</v>
      </c>
      <c r="E281" t="s">
        <v>1170</v>
      </c>
      <c r="F281" t="s">
        <v>1171</v>
      </c>
      <c r="G281" t="s">
        <v>81</v>
      </c>
      <c r="H281" t="str">
        <f>IFERROR(VLOOKUP($C281,'Tantárgyi adatok'!B:F,3,FALSE),"nincs")</f>
        <v>Mérnökinformatikus</v>
      </c>
      <c r="I281" t="s">
        <v>168</v>
      </c>
      <c r="J281" t="str">
        <f>IFERROR(VLOOKUP($C281,'Tantárgyi adatok'!B:F,4,FALSE),"nincs")</f>
        <v>BSc</v>
      </c>
      <c r="K281" t="str">
        <f>IFERROR(VLOOKUP($C281,'Tantárgyi adatok'!B:F,5,FALSE),"nincs")</f>
        <v>Computer Engineering</v>
      </c>
    </row>
    <row r="282" spans="1:11" x14ac:dyDescent="0.25">
      <c r="A282" t="s">
        <v>441</v>
      </c>
      <c r="B282" t="s">
        <v>442</v>
      </c>
      <c r="C282" t="s">
        <v>41</v>
      </c>
      <c r="D282" t="str">
        <f>IFERROR(VLOOKUP($C282,'Tantárgyi adatok'!B:F,2,FALSE),"nincs")</f>
        <v>Szakdolgozat</v>
      </c>
      <c r="E282" t="s">
        <v>940</v>
      </c>
      <c r="F282" t="s">
        <v>941</v>
      </c>
      <c r="G282" t="s">
        <v>791</v>
      </c>
      <c r="H282" t="str">
        <f>IFERROR(VLOOKUP($C282,'Tantárgyi adatok'!B:F,3,FALSE),"nincs")</f>
        <v>Villamosmérnök</v>
      </c>
      <c r="I282" t="s">
        <v>168</v>
      </c>
      <c r="J282" t="str">
        <f>IFERROR(VLOOKUP($C282,'Tantárgyi adatok'!B:F,4,FALSE),"nincs")</f>
        <v>BSc</v>
      </c>
      <c r="K282" t="str">
        <f>IFERROR(VLOOKUP($C282,'Tantárgyi adatok'!B:F,5,FALSE),"nincs")</f>
        <v>Electrical Engineering</v>
      </c>
    </row>
    <row r="283" spans="1:11" x14ac:dyDescent="0.25">
      <c r="A283" t="s">
        <v>685</v>
      </c>
      <c r="B283" t="s">
        <v>686</v>
      </c>
      <c r="C283" t="s">
        <v>47</v>
      </c>
      <c r="D283" t="str">
        <f>IFERROR(VLOOKUP($C283,'Tantárgyi adatok'!B:F,2,FALSE),"nincs")</f>
        <v>Szakdolgozat</v>
      </c>
      <c r="E283" t="s">
        <v>1172</v>
      </c>
      <c r="F283" t="s">
        <v>1173</v>
      </c>
      <c r="G283" t="s">
        <v>791</v>
      </c>
      <c r="H283" t="str">
        <f>IFERROR(VLOOKUP($C283,'Tantárgyi adatok'!B:F,3,FALSE),"nincs")</f>
        <v>Mérnökinformatikus</v>
      </c>
      <c r="I283" t="s">
        <v>168</v>
      </c>
      <c r="J283" t="str">
        <f>IFERROR(VLOOKUP($C283,'Tantárgyi adatok'!B:F,4,FALSE),"nincs")</f>
        <v>BSc</v>
      </c>
      <c r="K283" t="str">
        <f>IFERROR(VLOOKUP($C283,'Tantárgyi adatok'!B:F,5,FALSE),"nincs")</f>
        <v>Computer Engineering</v>
      </c>
    </row>
    <row r="284" spans="1:11" x14ac:dyDescent="0.25">
      <c r="A284" t="s">
        <v>687</v>
      </c>
      <c r="B284" t="s">
        <v>688</v>
      </c>
      <c r="C284" t="s">
        <v>47</v>
      </c>
      <c r="D284" t="str">
        <f>IFERROR(VLOOKUP($C284,'Tantárgyi adatok'!B:F,2,FALSE),"nincs")</f>
        <v>Szakdolgozat</v>
      </c>
      <c r="E284" t="s">
        <v>1174</v>
      </c>
      <c r="F284" t="s">
        <v>1175</v>
      </c>
      <c r="G284" t="s">
        <v>81</v>
      </c>
      <c r="H284" t="str">
        <f>IFERROR(VLOOKUP($C284,'Tantárgyi adatok'!B:F,3,FALSE),"nincs")</f>
        <v>Mérnökinformatikus</v>
      </c>
      <c r="I284" t="s">
        <v>134</v>
      </c>
      <c r="J284" t="str">
        <f>IFERROR(VLOOKUP($C284,'Tantárgyi adatok'!B:F,4,FALSE),"nincs")</f>
        <v>BSc</v>
      </c>
      <c r="K284" t="str">
        <f>IFERROR(VLOOKUP($C284,'Tantárgyi adatok'!B:F,5,FALSE),"nincs")</f>
        <v>Computer Engineering</v>
      </c>
    </row>
  </sheetData>
  <sortState xmlns:xlrd2="http://schemas.microsoft.com/office/spreadsheetml/2017/richdata2" ref="A2:K161">
    <sortCondition ref="A1:A16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45B-B7AD-4B32-91D4-DA0DADC54BA3}">
  <sheetPr codeName="Munka4"/>
  <dimension ref="A1:C55"/>
  <sheetViews>
    <sheetView tabSelected="1" workbookViewId="0">
      <selection activeCell="E23" sqref="E23"/>
    </sheetView>
  </sheetViews>
  <sheetFormatPr defaultRowHeight="15" x14ac:dyDescent="0.25"/>
  <cols>
    <col min="1" max="1" width="31.5703125" bestFit="1" customWidth="1"/>
    <col min="2" max="2" width="11.140625" bestFit="1" customWidth="1"/>
    <col min="3" max="3" width="22.42578125" bestFit="1" customWidth="1"/>
  </cols>
  <sheetData>
    <row r="1" spans="1:3" s="2" customFormat="1" x14ac:dyDescent="0.25">
      <c r="A1" s="2" t="s">
        <v>55</v>
      </c>
      <c r="B1" s="2" t="s">
        <v>54</v>
      </c>
      <c r="C1" s="2" t="s">
        <v>57</v>
      </c>
    </row>
    <row r="2" spans="1:3" x14ac:dyDescent="0.25">
      <c r="A2" t="s">
        <v>1237</v>
      </c>
      <c r="B2" t="s">
        <v>1238</v>
      </c>
      <c r="C2" t="s">
        <v>104</v>
      </c>
    </row>
    <row r="3" spans="1:3" x14ac:dyDescent="0.25">
      <c r="A3" t="s">
        <v>1247</v>
      </c>
      <c r="B3" t="s">
        <v>1248</v>
      </c>
      <c r="C3" t="s">
        <v>104</v>
      </c>
    </row>
    <row r="4" spans="1:3" x14ac:dyDescent="0.25">
      <c r="A4" t="s">
        <v>1268</v>
      </c>
      <c r="B4" t="s">
        <v>1269</v>
      </c>
      <c r="C4" t="s">
        <v>104</v>
      </c>
    </row>
    <row r="5" spans="1:3" x14ac:dyDescent="0.25">
      <c r="A5" t="s">
        <v>1294</v>
      </c>
      <c r="B5" t="s">
        <v>1295</v>
      </c>
      <c r="C5" t="s">
        <v>104</v>
      </c>
    </row>
    <row r="6" spans="1:3" x14ac:dyDescent="0.25">
      <c r="A6" t="s">
        <v>1188</v>
      </c>
      <c r="B6" t="s">
        <v>1189</v>
      </c>
      <c r="C6" t="s">
        <v>1190</v>
      </c>
    </row>
    <row r="7" spans="1:3" x14ac:dyDescent="0.25">
      <c r="A7" t="s">
        <v>1310</v>
      </c>
      <c r="B7" t="s">
        <v>1311</v>
      </c>
      <c r="C7" t="s">
        <v>1190</v>
      </c>
    </row>
    <row r="8" spans="1:3" x14ac:dyDescent="0.25">
      <c r="A8" t="s">
        <v>1312</v>
      </c>
      <c r="B8" t="s">
        <v>1313</v>
      </c>
      <c r="C8" t="s">
        <v>1190</v>
      </c>
    </row>
    <row r="9" spans="1:3" x14ac:dyDescent="0.25">
      <c r="A9" t="s">
        <v>1314</v>
      </c>
      <c r="B9" t="s">
        <v>1315</v>
      </c>
      <c r="C9" t="s">
        <v>1316</v>
      </c>
    </row>
    <row r="10" spans="1:3" x14ac:dyDescent="0.25">
      <c r="A10" t="s">
        <v>1264</v>
      </c>
      <c r="B10" t="s">
        <v>1265</v>
      </c>
      <c r="C10" t="s">
        <v>202</v>
      </c>
    </row>
    <row r="11" spans="1:3" x14ac:dyDescent="0.25">
      <c r="A11" t="s">
        <v>1281</v>
      </c>
      <c r="B11" t="s">
        <v>1282</v>
      </c>
      <c r="C11" t="s">
        <v>202</v>
      </c>
    </row>
    <row r="12" spans="1:3" x14ac:dyDescent="0.25">
      <c r="A12" t="s">
        <v>1249</v>
      </c>
      <c r="B12" t="s">
        <v>1250</v>
      </c>
      <c r="C12" t="s">
        <v>1210</v>
      </c>
    </row>
    <row r="13" spans="1:3" x14ac:dyDescent="0.25">
      <c r="A13" t="s">
        <v>1258</v>
      </c>
      <c r="B13" t="s">
        <v>1259</v>
      </c>
      <c r="C13" t="s">
        <v>1213</v>
      </c>
    </row>
    <row r="14" spans="1:3" x14ac:dyDescent="0.25">
      <c r="A14" t="s">
        <v>1228</v>
      </c>
      <c r="B14" t="s">
        <v>1229</v>
      </c>
      <c r="C14" t="s">
        <v>1230</v>
      </c>
    </row>
    <row r="15" spans="1:3" x14ac:dyDescent="0.25">
      <c r="A15" t="s">
        <v>1253</v>
      </c>
      <c r="B15" t="s">
        <v>1254</v>
      </c>
      <c r="C15" t="s">
        <v>1230</v>
      </c>
    </row>
    <row r="16" spans="1:3" x14ac:dyDescent="0.25">
      <c r="A16" t="s">
        <v>1255</v>
      </c>
      <c r="B16" t="s">
        <v>1256</v>
      </c>
      <c r="C16" t="s">
        <v>1257</v>
      </c>
    </row>
    <row r="17" spans="1:3" x14ac:dyDescent="0.25">
      <c r="A17" t="s">
        <v>1266</v>
      </c>
      <c r="B17" t="s">
        <v>1267</v>
      </c>
      <c r="C17" t="s">
        <v>1257</v>
      </c>
    </row>
    <row r="18" spans="1:3" x14ac:dyDescent="0.25">
      <c r="A18" t="s">
        <v>1302</v>
      </c>
      <c r="B18" t="s">
        <v>1303</v>
      </c>
      <c r="C18" t="s">
        <v>1257</v>
      </c>
    </row>
    <row r="19" spans="1:3" x14ac:dyDescent="0.25">
      <c r="A19" t="s">
        <v>1289</v>
      </c>
      <c r="B19" t="s">
        <v>1290</v>
      </c>
      <c r="C19" t="s">
        <v>1291</v>
      </c>
    </row>
    <row r="20" spans="1:3" x14ac:dyDescent="0.25">
      <c r="A20" t="s">
        <v>1292</v>
      </c>
      <c r="B20" t="s">
        <v>1293</v>
      </c>
      <c r="C20" t="s">
        <v>1291</v>
      </c>
    </row>
    <row r="21" spans="1:3" x14ac:dyDescent="0.25">
      <c r="A21" t="s">
        <v>1183</v>
      </c>
      <c r="B21" t="s">
        <v>1184</v>
      </c>
      <c r="C21" t="s">
        <v>1185</v>
      </c>
    </row>
    <row r="22" spans="1:3" x14ac:dyDescent="0.25">
      <c r="A22" t="s">
        <v>1306</v>
      </c>
      <c r="B22" t="s">
        <v>1307</v>
      </c>
      <c r="C22" t="s">
        <v>1185</v>
      </c>
    </row>
    <row r="23" spans="1:3" x14ac:dyDescent="0.25">
      <c r="A23" t="s">
        <v>1308</v>
      </c>
      <c r="B23" t="s">
        <v>1309</v>
      </c>
      <c r="C23" t="s">
        <v>1185</v>
      </c>
    </row>
    <row r="24" spans="1:3" x14ac:dyDescent="0.25">
      <c r="A24" t="s">
        <v>1241</v>
      </c>
      <c r="B24" t="s">
        <v>1242</v>
      </c>
      <c r="C24" t="s">
        <v>1243</v>
      </c>
    </row>
    <row r="25" spans="1:3" x14ac:dyDescent="0.25">
      <c r="A25" t="s">
        <v>1285</v>
      </c>
      <c r="B25" t="s">
        <v>1286</v>
      </c>
      <c r="C25" t="s">
        <v>1243</v>
      </c>
    </row>
    <row r="26" spans="1:3" x14ac:dyDescent="0.25">
      <c r="A26" t="s">
        <v>1225</v>
      </c>
      <c r="B26" t="s">
        <v>1226</v>
      </c>
      <c r="C26" t="s">
        <v>1227</v>
      </c>
    </row>
    <row r="27" spans="1:3" x14ac:dyDescent="0.25">
      <c r="A27" t="s">
        <v>1330</v>
      </c>
      <c r="B27" t="s">
        <v>1331</v>
      </c>
      <c r="C27" t="s">
        <v>1193</v>
      </c>
    </row>
    <row r="28" spans="1:3" x14ac:dyDescent="0.25">
      <c r="A28" t="s">
        <v>1327</v>
      </c>
      <c r="B28" t="s">
        <v>1328</v>
      </c>
      <c r="C28" t="s">
        <v>1329</v>
      </c>
    </row>
    <row r="29" spans="1:3" x14ac:dyDescent="0.25">
      <c r="A29" t="s">
        <v>1270</v>
      </c>
      <c r="B29" t="s">
        <v>1271</v>
      </c>
      <c r="C29" t="s">
        <v>1220</v>
      </c>
    </row>
    <row r="30" spans="1:3" x14ac:dyDescent="0.25">
      <c r="A30" t="s">
        <v>1332</v>
      </c>
      <c r="B30" t="s">
        <v>1333</v>
      </c>
      <c r="C30" t="s">
        <v>1220</v>
      </c>
    </row>
    <row r="31" spans="1:3" x14ac:dyDescent="0.25">
      <c r="A31" t="s">
        <v>1200</v>
      </c>
      <c r="B31" t="s">
        <v>1201</v>
      </c>
      <c r="C31" t="s">
        <v>1202</v>
      </c>
    </row>
    <row r="32" spans="1:3" x14ac:dyDescent="0.25">
      <c r="A32" t="s">
        <v>1233</v>
      </c>
      <c r="B32" t="s">
        <v>1234</v>
      </c>
      <c r="C32" t="s">
        <v>226</v>
      </c>
    </row>
    <row r="33" spans="1:3" x14ac:dyDescent="0.25">
      <c r="A33" t="s">
        <v>1244</v>
      </c>
      <c r="B33" t="s">
        <v>1245</v>
      </c>
      <c r="C33" t="s">
        <v>1246</v>
      </c>
    </row>
    <row r="34" spans="1:3" x14ac:dyDescent="0.25">
      <c r="A34" t="s">
        <v>1320</v>
      </c>
      <c r="B34" t="s">
        <v>1321</v>
      </c>
      <c r="C34" t="s">
        <v>1246</v>
      </c>
    </row>
    <row r="35" spans="1:3" x14ac:dyDescent="0.25">
      <c r="A35" t="s">
        <v>1221</v>
      </c>
      <c r="B35" t="s">
        <v>1222</v>
      </c>
      <c r="C35" t="s">
        <v>1182</v>
      </c>
    </row>
    <row r="36" spans="1:3" x14ac:dyDescent="0.25">
      <c r="A36" t="s">
        <v>1251</v>
      </c>
      <c r="B36" t="s">
        <v>1252</v>
      </c>
      <c r="C36" t="s">
        <v>136</v>
      </c>
    </row>
    <row r="37" spans="1:3" x14ac:dyDescent="0.25">
      <c r="A37" t="s">
        <v>1287</v>
      </c>
      <c r="B37" t="s">
        <v>1288</v>
      </c>
      <c r="C37" t="s">
        <v>349</v>
      </c>
    </row>
    <row r="38" spans="1:3" x14ac:dyDescent="0.25">
      <c r="A38" t="s">
        <v>1298</v>
      </c>
      <c r="B38" t="s">
        <v>1299</v>
      </c>
      <c r="C38" t="s">
        <v>148</v>
      </c>
    </row>
    <row r="39" spans="1:3" x14ac:dyDescent="0.25">
      <c r="A39" t="s">
        <v>1322</v>
      </c>
      <c r="B39" t="s">
        <v>1323</v>
      </c>
      <c r="C39" t="s">
        <v>148</v>
      </c>
    </row>
    <row r="40" spans="1:3" x14ac:dyDescent="0.25">
      <c r="A40" t="s">
        <v>1231</v>
      </c>
      <c r="B40" t="s">
        <v>1232</v>
      </c>
      <c r="C40" t="s">
        <v>147</v>
      </c>
    </row>
    <row r="41" spans="1:3" x14ac:dyDescent="0.25">
      <c r="A41" t="s">
        <v>1235</v>
      </c>
      <c r="B41" t="s">
        <v>1236</v>
      </c>
      <c r="C41" t="s">
        <v>181</v>
      </c>
    </row>
    <row r="42" spans="1:3" x14ac:dyDescent="0.25">
      <c r="A42" t="s">
        <v>1300</v>
      </c>
      <c r="B42" t="s">
        <v>1301</v>
      </c>
      <c r="C42" t="s">
        <v>181</v>
      </c>
    </row>
    <row r="43" spans="1:3" x14ac:dyDescent="0.25">
      <c r="A43" t="s">
        <v>1317</v>
      </c>
      <c r="B43" t="s">
        <v>1318</v>
      </c>
      <c r="C43" t="s">
        <v>1319</v>
      </c>
    </row>
    <row r="44" spans="1:3" x14ac:dyDescent="0.25">
      <c r="A44" t="s">
        <v>1296</v>
      </c>
      <c r="B44" t="s">
        <v>1297</v>
      </c>
      <c r="C44" t="s">
        <v>348</v>
      </c>
    </row>
    <row r="45" spans="1:3" x14ac:dyDescent="0.25">
      <c r="A45" t="s">
        <v>1239</v>
      </c>
      <c r="B45" t="s">
        <v>1240</v>
      </c>
      <c r="C45" t="s">
        <v>487</v>
      </c>
    </row>
    <row r="46" spans="1:3" x14ac:dyDescent="0.25">
      <c r="A46" t="s">
        <v>1276</v>
      </c>
      <c r="B46" t="s">
        <v>1277</v>
      </c>
      <c r="C46" t="s">
        <v>487</v>
      </c>
    </row>
    <row r="47" spans="1:3" x14ac:dyDescent="0.25">
      <c r="A47" t="s">
        <v>1278</v>
      </c>
      <c r="B47" t="s">
        <v>1279</v>
      </c>
      <c r="C47" t="s">
        <v>1280</v>
      </c>
    </row>
    <row r="48" spans="1:3" x14ac:dyDescent="0.25">
      <c r="A48" t="s">
        <v>1324</v>
      </c>
      <c r="B48" t="s">
        <v>1325</v>
      </c>
      <c r="C48" t="s">
        <v>1326</v>
      </c>
    </row>
    <row r="49" spans="1:3" x14ac:dyDescent="0.25">
      <c r="A49" t="s">
        <v>1283</v>
      </c>
      <c r="B49" t="s">
        <v>1284</v>
      </c>
      <c r="C49" t="s">
        <v>582</v>
      </c>
    </row>
    <row r="50" spans="1:3" x14ac:dyDescent="0.25">
      <c r="A50" t="s">
        <v>1304</v>
      </c>
      <c r="B50" t="s">
        <v>1305</v>
      </c>
      <c r="C50" t="s">
        <v>582</v>
      </c>
    </row>
    <row r="51" spans="1:3" x14ac:dyDescent="0.25">
      <c r="A51" t="s">
        <v>1205</v>
      </c>
      <c r="B51" t="s">
        <v>1206</v>
      </c>
      <c r="C51" t="s">
        <v>1207</v>
      </c>
    </row>
    <row r="52" spans="1:3" x14ac:dyDescent="0.25">
      <c r="A52" t="s">
        <v>1262</v>
      </c>
      <c r="B52" t="s">
        <v>1263</v>
      </c>
      <c r="C52" t="s">
        <v>1207</v>
      </c>
    </row>
    <row r="53" spans="1:3" x14ac:dyDescent="0.25">
      <c r="A53" t="s">
        <v>1274</v>
      </c>
      <c r="B53" t="s">
        <v>1275</v>
      </c>
      <c r="C53" t="s">
        <v>1207</v>
      </c>
    </row>
    <row r="54" spans="1:3" x14ac:dyDescent="0.25">
      <c r="A54" t="s">
        <v>1260</v>
      </c>
      <c r="B54" t="s">
        <v>1261</v>
      </c>
      <c r="C54" t="s">
        <v>157</v>
      </c>
    </row>
    <row r="55" spans="1:3" x14ac:dyDescent="0.25">
      <c r="A55" t="s">
        <v>1272</v>
      </c>
      <c r="B55" t="s">
        <v>1273</v>
      </c>
      <c r="C55" t="s">
        <v>157</v>
      </c>
    </row>
  </sheetData>
  <sortState xmlns:xlrd2="http://schemas.microsoft.com/office/spreadsheetml/2017/richdata2" ref="A2:C55">
    <sortCondition ref="C1:C5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>
    <tabColor theme="0" tint="-0.499984740745262"/>
  </sheetPr>
  <dimension ref="A1:F24"/>
  <sheetViews>
    <sheetView workbookViewId="0">
      <selection activeCell="C5" sqref="C5"/>
    </sheetView>
  </sheetViews>
  <sheetFormatPr defaultRowHeight="15" x14ac:dyDescent="0.25"/>
  <cols>
    <col min="1" max="1" width="54" customWidth="1"/>
    <col min="2" max="2" width="11" customWidth="1"/>
    <col min="3" max="3" width="23.42578125" bestFit="1" customWidth="1"/>
    <col min="4" max="4" width="21.140625" bestFit="1" customWidth="1"/>
    <col min="5" max="6" width="21.140625" customWidth="1"/>
  </cols>
  <sheetData>
    <row r="1" spans="1:6" ht="16.5" thickBot="1" x14ac:dyDescent="0.3">
      <c r="A1" s="1" t="s">
        <v>0</v>
      </c>
      <c r="B1" s="1" t="s">
        <v>1</v>
      </c>
      <c r="C1" s="1" t="s">
        <v>48</v>
      </c>
      <c r="D1" s="1" t="s">
        <v>49</v>
      </c>
      <c r="E1" s="1" t="s">
        <v>85</v>
      </c>
      <c r="F1" s="1" t="s">
        <v>91</v>
      </c>
    </row>
    <row r="2" spans="1:6" x14ac:dyDescent="0.25">
      <c r="A2" t="s">
        <v>38</v>
      </c>
      <c r="B2" t="s">
        <v>39</v>
      </c>
      <c r="C2" t="s">
        <v>53</v>
      </c>
      <c r="D2" t="s">
        <v>52</v>
      </c>
      <c r="E2" t="s">
        <v>86</v>
      </c>
      <c r="F2" t="s">
        <v>88</v>
      </c>
    </row>
    <row r="3" spans="1:6" x14ac:dyDescent="0.25">
      <c r="A3" t="s">
        <v>20</v>
      </c>
      <c r="B3" t="s">
        <v>21</v>
      </c>
    </row>
    <row r="4" spans="1:6" x14ac:dyDescent="0.25">
      <c r="A4" t="s">
        <v>24</v>
      </c>
      <c r="B4" t="s">
        <v>25</v>
      </c>
    </row>
    <row r="5" spans="1:6" x14ac:dyDescent="0.25">
      <c r="A5" t="s">
        <v>22</v>
      </c>
      <c r="B5" t="s">
        <v>23</v>
      </c>
    </row>
    <row r="6" spans="1:6" x14ac:dyDescent="0.25">
      <c r="A6" t="s">
        <v>44</v>
      </c>
      <c r="B6" t="s">
        <v>45</v>
      </c>
      <c r="C6" t="s">
        <v>53</v>
      </c>
      <c r="D6" t="s">
        <v>50</v>
      </c>
      <c r="E6" t="s">
        <v>86</v>
      </c>
      <c r="F6" t="s">
        <v>89</v>
      </c>
    </row>
    <row r="7" spans="1:6" x14ac:dyDescent="0.25">
      <c r="A7" t="s">
        <v>42</v>
      </c>
      <c r="B7" t="s">
        <v>43</v>
      </c>
      <c r="C7" t="s">
        <v>53</v>
      </c>
      <c r="D7" t="s">
        <v>51</v>
      </c>
      <c r="E7" t="s">
        <v>86</v>
      </c>
      <c r="F7" t="s">
        <v>88</v>
      </c>
    </row>
    <row r="8" spans="1:6" x14ac:dyDescent="0.25">
      <c r="A8" t="s">
        <v>46</v>
      </c>
      <c r="B8" t="s">
        <v>47</v>
      </c>
      <c r="C8" t="s">
        <v>53</v>
      </c>
      <c r="D8" t="s">
        <v>50</v>
      </c>
      <c r="E8" t="s">
        <v>86</v>
      </c>
      <c r="F8" t="s">
        <v>89</v>
      </c>
    </row>
    <row r="9" spans="1:6" x14ac:dyDescent="0.25">
      <c r="A9" t="s">
        <v>40</v>
      </c>
      <c r="B9" t="s">
        <v>41</v>
      </c>
      <c r="C9" t="s">
        <v>53</v>
      </c>
      <c r="D9" t="s">
        <v>51</v>
      </c>
      <c r="E9" t="s">
        <v>86</v>
      </c>
      <c r="F9" t="s">
        <v>88</v>
      </c>
    </row>
    <row r="10" spans="1:6" x14ac:dyDescent="0.25">
      <c r="A10" t="s">
        <v>16</v>
      </c>
      <c r="B10" t="s">
        <v>17</v>
      </c>
    </row>
    <row r="11" spans="1:6" x14ac:dyDescent="0.25">
      <c r="A11" t="s">
        <v>18</v>
      </c>
      <c r="B11" t="s">
        <v>19</v>
      </c>
      <c r="C11" t="s">
        <v>92</v>
      </c>
      <c r="D11" t="s">
        <v>52</v>
      </c>
      <c r="E11" t="s">
        <v>87</v>
      </c>
      <c r="F11" t="s">
        <v>90</v>
      </c>
    </row>
    <row r="12" spans="1:6" x14ac:dyDescent="0.25">
      <c r="A12" t="s">
        <v>36</v>
      </c>
      <c r="B12" t="s">
        <v>37</v>
      </c>
    </row>
    <row r="13" spans="1:6" x14ac:dyDescent="0.25">
      <c r="A13" t="s">
        <v>28</v>
      </c>
      <c r="B13" t="s">
        <v>29</v>
      </c>
    </row>
    <row r="14" spans="1:6" x14ac:dyDescent="0.25">
      <c r="A14" t="s">
        <v>26</v>
      </c>
      <c r="B14" t="s">
        <v>27</v>
      </c>
    </row>
    <row r="15" spans="1:6" x14ac:dyDescent="0.25">
      <c r="A15" t="s">
        <v>32</v>
      </c>
      <c r="B15" t="s">
        <v>33</v>
      </c>
    </row>
    <row r="16" spans="1:6" x14ac:dyDescent="0.25">
      <c r="A16" t="s">
        <v>30</v>
      </c>
      <c r="B16" t="s">
        <v>31</v>
      </c>
    </row>
    <row r="17" spans="1:6" x14ac:dyDescent="0.25">
      <c r="A17" t="s">
        <v>34</v>
      </c>
      <c r="B17" t="s">
        <v>35</v>
      </c>
    </row>
    <row r="18" spans="1:6" x14ac:dyDescent="0.25">
      <c r="A18" t="s">
        <v>2</v>
      </c>
      <c r="B18" t="s">
        <v>3</v>
      </c>
    </row>
    <row r="19" spans="1:6" x14ac:dyDescent="0.25">
      <c r="A19" t="s">
        <v>6</v>
      </c>
      <c r="B19" t="s">
        <v>7</v>
      </c>
    </row>
    <row r="20" spans="1:6" x14ac:dyDescent="0.25">
      <c r="A20" t="s">
        <v>12</v>
      </c>
      <c r="B20" t="s">
        <v>13</v>
      </c>
      <c r="C20" t="s">
        <v>92</v>
      </c>
      <c r="D20" t="s">
        <v>51</v>
      </c>
      <c r="E20" t="s">
        <v>87</v>
      </c>
      <c r="F20" t="s">
        <v>88</v>
      </c>
    </row>
    <row r="21" spans="1:6" x14ac:dyDescent="0.25">
      <c r="A21" t="s">
        <v>4</v>
      </c>
      <c r="B21" t="s">
        <v>5</v>
      </c>
    </row>
    <row r="22" spans="1:6" x14ac:dyDescent="0.25">
      <c r="A22" t="s">
        <v>10</v>
      </c>
      <c r="B22" t="s">
        <v>11</v>
      </c>
      <c r="C22" t="s">
        <v>92</v>
      </c>
      <c r="D22" t="s">
        <v>50</v>
      </c>
      <c r="E22" t="s">
        <v>87</v>
      </c>
      <c r="F22" t="s">
        <v>89</v>
      </c>
    </row>
    <row r="23" spans="1:6" x14ac:dyDescent="0.25">
      <c r="A23" t="s">
        <v>8</v>
      </c>
      <c r="B23" t="s">
        <v>9</v>
      </c>
    </row>
    <row r="24" spans="1:6" x14ac:dyDescent="0.25">
      <c r="A24" t="s">
        <v>14</v>
      </c>
      <c r="B24" t="s">
        <v>15</v>
      </c>
      <c r="C24" t="s">
        <v>92</v>
      </c>
      <c r="D24" t="s">
        <v>51</v>
      </c>
      <c r="E24" t="s">
        <v>87</v>
      </c>
      <c r="F24" t="s">
        <v>88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6021-D96B-4C67-A763-D8E26B0BBE56}">
  <sheetPr codeName="Munka5">
    <tabColor theme="0" tint="-0.499984740745262"/>
  </sheetPr>
  <dimension ref="A1:D5"/>
  <sheetViews>
    <sheetView workbookViewId="0">
      <selection activeCell="A6" sqref="A6"/>
    </sheetView>
  </sheetViews>
  <sheetFormatPr defaultRowHeight="15" x14ac:dyDescent="0.25"/>
  <cols>
    <col min="1" max="2" width="21.85546875" customWidth="1"/>
    <col min="3" max="3" width="33.5703125" customWidth="1"/>
    <col min="4" max="4" width="30.140625" customWidth="1"/>
  </cols>
  <sheetData>
    <row r="1" spans="1:4" s="2" customFormat="1" x14ac:dyDescent="0.25">
      <c r="A1" s="2" t="s">
        <v>71</v>
      </c>
      <c r="B1" s="2" t="s">
        <v>130</v>
      </c>
      <c r="C1" s="2" t="s">
        <v>72</v>
      </c>
      <c r="D1" s="2" t="s">
        <v>73</v>
      </c>
    </row>
    <row r="2" spans="1:4" x14ac:dyDescent="0.25">
      <c r="A2" t="s">
        <v>82</v>
      </c>
      <c r="B2">
        <v>0</v>
      </c>
      <c r="C2" t="s">
        <v>74</v>
      </c>
      <c r="D2" t="s">
        <v>75</v>
      </c>
    </row>
    <row r="3" spans="1:4" x14ac:dyDescent="0.25">
      <c r="A3" t="s">
        <v>83</v>
      </c>
      <c r="B3">
        <v>1</v>
      </c>
      <c r="C3" t="s">
        <v>76</v>
      </c>
      <c r="D3" t="s">
        <v>77</v>
      </c>
    </row>
    <row r="4" spans="1:4" x14ac:dyDescent="0.25">
      <c r="A4" t="s">
        <v>84</v>
      </c>
      <c r="B4">
        <v>1</v>
      </c>
      <c r="C4" t="s">
        <v>78</v>
      </c>
      <c r="D4" t="s">
        <v>79</v>
      </c>
    </row>
    <row r="5" spans="1:4" x14ac:dyDescent="0.25">
      <c r="A5" t="s">
        <v>101</v>
      </c>
      <c r="B5">
        <v>1</v>
      </c>
      <c r="C5" t="s">
        <v>102</v>
      </c>
      <c r="D5" t="s">
        <v>103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Útmutató</vt:lpstr>
      <vt:lpstr>GeneráltHallgatóiLista</vt:lpstr>
      <vt:lpstr>StudentsWithoutAutPortalEntry</vt:lpstr>
      <vt:lpstr>Tantárgyi adatok</vt:lpstr>
      <vt:lpstr>TemplatesAndFiles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2025-11-19T09:40:04Z</dcterms:modified>
</cp:coreProperties>
</file>