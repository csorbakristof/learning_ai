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_learning_ai\AUT_KiirasEsBiralatiSablonGeneralo\"/>
    </mc:Choice>
  </mc:AlternateContent>
  <xr:revisionPtr revIDLastSave="0" documentId="13_ncr:1_{063433AD-BA48-42AC-A0EB-63FC71296A6B}" xr6:coauthVersionLast="47" xr6:coauthVersionMax="47" xr10:uidLastSave="{00000000-0000-0000-0000-000000000000}"/>
  <bookViews>
    <workbookView xWindow="2715" yWindow="-15405" windowWidth="21600" windowHeight="12735" xr2:uid="{1DD76C52-3F59-4F1E-B750-DCFFDBCB0331}"/>
  </bookViews>
  <sheets>
    <sheet name="Útmutató" sheetId="1" r:id="rId1"/>
    <sheet name="GeneráltHallgatóiLista" sheetId="3" r:id="rId2"/>
    <sheet name="Tantárgyi adatok" sheetId="2" r:id="rId3"/>
    <sheet name="TemplatesAndFiles" sheetId="6" r:id="rId4"/>
  </sheets>
  <definedNames>
    <definedName name="_xleta.VLOOKUP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3" l="1"/>
  <c r="H2" i="3"/>
  <c r="J2" i="3"/>
  <c r="K2" i="3"/>
  <c r="D3" i="3"/>
  <c r="H3" i="3"/>
  <c r="J3" i="3"/>
  <c r="K3" i="3"/>
  <c r="K12" i="3"/>
  <c r="J12" i="3"/>
  <c r="H12" i="3"/>
  <c r="D12" i="3"/>
  <c r="K11" i="3"/>
  <c r="J11" i="3"/>
  <c r="H11" i="3"/>
  <c r="D11" i="3"/>
  <c r="K10" i="3"/>
  <c r="J10" i="3"/>
  <c r="H10" i="3"/>
  <c r="D10" i="3"/>
  <c r="K9" i="3"/>
  <c r="J9" i="3"/>
  <c r="H9" i="3"/>
  <c r="D9" i="3"/>
  <c r="K8" i="3"/>
  <c r="J8" i="3"/>
  <c r="H8" i="3"/>
  <c r="D8" i="3"/>
  <c r="K7" i="3"/>
  <c r="J7" i="3"/>
  <c r="H7" i="3"/>
  <c r="D7" i="3"/>
  <c r="K6" i="3"/>
  <c r="J6" i="3"/>
  <c r="H6" i="3"/>
  <c r="D6" i="3"/>
  <c r="K5" i="3"/>
  <c r="J5" i="3"/>
  <c r="H5" i="3"/>
  <c r="D5" i="3"/>
  <c r="K4" i="3"/>
  <c r="J4" i="3"/>
  <c r="H4" i="3"/>
  <c r="D4" i="3"/>
</calcChain>
</file>

<file path=xl/sharedStrings.xml><?xml version="1.0" encoding="utf-8"?>
<sst xmlns="http://schemas.openxmlformats.org/spreadsheetml/2006/main" count="210" uniqueCount="153">
  <si>
    <t>Tárgy</t>
  </si>
  <si>
    <t>Tárgy nept</t>
  </si>
  <si>
    <t>Diplomatervezés 1 (MSc, Info, 2022-ig felvettek)</t>
  </si>
  <si>
    <t>VIAUMT00</t>
  </si>
  <si>
    <t>Diplomatervezés 1 (MSc, Info, 2023-tól felvettek)</t>
  </si>
  <si>
    <t>VIAUMT10</t>
  </si>
  <si>
    <t>Diplomatervezés 1 (MSc, Vill, 2022-ig felvettek)</t>
  </si>
  <si>
    <t>VIAUMT02</t>
  </si>
  <si>
    <t>Diplomatervezés 1 (MSc, Vill, 2023-tól felvettek)</t>
  </si>
  <si>
    <t>VIAUMT12</t>
  </si>
  <si>
    <t>Diplomatervezés 2 (MSc, Info, 2023-tól felvettek)</t>
  </si>
  <si>
    <t>VIAUMT11</t>
  </si>
  <si>
    <t>Diplomatervezés 2 (MSc, Vill, 2022-ig felvettek)</t>
  </si>
  <si>
    <t>VIAUMT03</t>
  </si>
  <si>
    <t>Diplomatervezés 2 (MSc, Vill, 2023-tól felvettek)</t>
  </si>
  <si>
    <t>VIAUMT13</t>
  </si>
  <si>
    <t>Diplomatervezés A</t>
  </si>
  <si>
    <t>VIAUM026</t>
  </si>
  <si>
    <t>Diplomatervezés B</t>
  </si>
  <si>
    <t>VIAUM027</t>
  </si>
  <si>
    <t>Önálló laboratórium (BSc, Info, 2021-ig felvettek)</t>
  </si>
  <si>
    <t>VIAUAL01</t>
  </si>
  <si>
    <t>Önálló laboratórium (BSc, Info, 2022-től felvettek)</t>
  </si>
  <si>
    <t>VIAUAL04</t>
  </si>
  <si>
    <t>Önálló laboratórium (BSc, Vill, 2021-ig felvettek)</t>
  </si>
  <si>
    <t>VIAUAL03</t>
  </si>
  <si>
    <t>Önálló laboratórium 1 (MSc, Info, 2023-tól felvettek)</t>
  </si>
  <si>
    <t>VIAUML10</t>
  </si>
  <si>
    <t>Önálló laboratórium 1 (MSc, Vill, 2022-ig felvettek)</t>
  </si>
  <si>
    <t>VIAUML02</t>
  </si>
  <si>
    <t>Önálló laboratórium 1 (MSc, Vill, 2023-tól felvettek)</t>
  </si>
  <si>
    <t>VIAUML12</t>
  </si>
  <si>
    <t>Önálló laboratórium 2 (MSc, Info, 2023-tól felvettek)</t>
  </si>
  <si>
    <t>VIAUML11</t>
  </si>
  <si>
    <t>Önálló laboratórium 2 (MSc, Vill, 2023-tól felvettek)</t>
  </si>
  <si>
    <t>VIAUML13</t>
  </si>
  <si>
    <t>Projektfeladat mechatronikusoknak</t>
  </si>
  <si>
    <t>VIAUM039</t>
  </si>
  <si>
    <t>Szakdolgozat készítés</t>
  </si>
  <si>
    <t>VIAUA019</t>
  </si>
  <si>
    <t>Szakdolgozat készítés (BSc Vill 2022-től felvettk)</t>
  </si>
  <si>
    <t>VIAUAT03</t>
  </si>
  <si>
    <t>Szakdolgozat készítés (BSc Vill, 2021-ig felvettek)</t>
  </si>
  <si>
    <t>VIAUAT01</t>
  </si>
  <si>
    <t>Szakdolgozat-készítés (BSc Info, 2021-ig felvettek)</t>
  </si>
  <si>
    <t>VIAUAT00</t>
  </si>
  <si>
    <t>Szakdolgozat-készítés (BSc Info, 2022-től felvettek)</t>
  </si>
  <si>
    <t>VIAUAT02</t>
  </si>
  <si>
    <t>Dolgozat megnevezése</t>
  </si>
  <si>
    <t>Szak megnevezése</t>
  </si>
  <si>
    <t>Mérnökinformatikus</t>
  </si>
  <si>
    <t>Villamosmérnök</t>
  </si>
  <si>
    <t>Mechatronikai mérnök</t>
  </si>
  <si>
    <t>Szakdolgozat</t>
  </si>
  <si>
    <t>Neptun kód</t>
  </si>
  <si>
    <t>Hallgató neve</t>
  </si>
  <si>
    <t>Tárgykód</t>
  </si>
  <si>
    <t>Konzulens neve</t>
  </si>
  <si>
    <t>Lépés</t>
  </si>
  <si>
    <t>Makró</t>
  </si>
  <si>
    <t>Hotkey</t>
  </si>
  <si>
    <t>Leírás</t>
  </si>
  <si>
    <t>CollectStudents</t>
  </si>
  <si>
    <t>Ctrl-Shift-C</t>
  </si>
  <si>
    <t>Ctrl-Shift-G</t>
  </si>
  <si>
    <t>A Terheles… xlsx alapján feltölti a GeneráltHallgatóiLista worksheetet</t>
  </si>
  <si>
    <t>Legenerálja a feladatkiírásokat a sablon alapján</t>
  </si>
  <si>
    <t>Még hasznos lehet a zipTaskDescriptions.ps1, mely konzulensenként zippeli be a kiírásokat.</t>
  </si>
  <si>
    <t>Dolgozat címe magyarul</t>
  </si>
  <si>
    <t>Dolgozat címe angolul</t>
  </si>
  <si>
    <t>Bírálat nyelve</t>
  </si>
  <si>
    <t>Kimeneti fájl sablon</t>
  </si>
  <si>
    <t>Magyar sablon</t>
  </si>
  <si>
    <t>Angol sablon</t>
  </si>
  <si>
    <t>template_task_hu.docx</t>
  </si>
  <si>
    <t>template_task_en.docx</t>
  </si>
  <si>
    <t>template_review_hu.docx</t>
  </si>
  <si>
    <t>template_review_en.docx</t>
  </si>
  <si>
    <t>template_grade_hu.docx</t>
  </si>
  <si>
    <t>template_grade_en.docx</t>
  </si>
  <si>
    <t>Kővári Bence Dr.</t>
  </si>
  <si>
    <t>Szvétek-Müller András Zsolt</t>
  </si>
  <si>
    <t>JNDSHB</t>
  </si>
  <si>
    <t>Mesterséges Intelligencia alapú generatív társasjáték fejlesztése</t>
  </si>
  <si>
    <t>Developing a Board Game Application with Generative Artificial Intelligence</t>
  </si>
  <si>
    <t>magyar</t>
  </si>
  <si>
    <t>name_task.docx</t>
  </si>
  <si>
    <t>name_review.docx</t>
  </si>
  <si>
    <t>name_grade.docx</t>
  </si>
  <si>
    <t>Degree level</t>
  </si>
  <si>
    <t>BSc</t>
  </si>
  <si>
    <t>MSc</t>
  </si>
  <si>
    <t>Electrical Engineering</t>
  </si>
  <si>
    <t>Computer Engineering</t>
  </si>
  <si>
    <t>Mechatronic Engineering</t>
  </si>
  <si>
    <t>Program name</t>
  </si>
  <si>
    <t>Diplomatervezés</t>
  </si>
  <si>
    <t>Mrad Mohamed Azouz</t>
  </si>
  <si>
    <t>Szekeres Kornél</t>
  </si>
  <si>
    <t>Almoghrabi Makram Issam</t>
  </si>
  <si>
    <t>X3025D</t>
  </si>
  <si>
    <t>Forgó Frigyes</t>
  </si>
  <si>
    <t>CCV5YH</t>
  </si>
  <si>
    <t>Kiss Domokos Dr.</t>
  </si>
  <si>
    <t>Sas Bence</t>
  </si>
  <si>
    <t>SQ6PNP</t>
  </si>
  <si>
    <t>Gótzy Márton</t>
  </si>
  <si>
    <t>Pete Dávid Dorián</t>
  </si>
  <si>
    <t>GVJ529</t>
  </si>
  <si>
    <t>Furmann Áron</t>
  </si>
  <si>
    <t>Szabó Máté András</t>
  </si>
  <si>
    <t>O7J4JT</t>
  </si>
  <si>
    <t>Stumpf Péter</t>
  </si>
  <si>
    <t>Sándor Dániel</t>
  </si>
  <si>
    <t>I8E8B0</t>
  </si>
  <si>
    <t>Max Gyula Dr.</t>
  </si>
  <si>
    <t>Marsi Ádám</t>
  </si>
  <si>
    <t>FGCSU9</t>
  </si>
  <si>
    <t>Harsányi Csanád Gellért</t>
  </si>
  <si>
    <t>BY74X1</t>
  </si>
  <si>
    <t>Mészáros András</t>
  </si>
  <si>
    <t>BSBK18</t>
  </si>
  <si>
    <t>Mohácsi Ákos</t>
  </si>
  <si>
    <t>VTWDGF</t>
  </si>
  <si>
    <t>Smart inverter tervezése</t>
  </si>
  <si>
    <t>Smart inverter development</t>
  </si>
  <si>
    <t>Hajtásinverter tervezése és irányitása</t>
  </si>
  <si>
    <t>Design and control of a drive inverter</t>
  </si>
  <si>
    <t>Dinamikus teljesítményfélvezető teszter modellezése</t>
  </si>
  <si>
    <t>Digital Twin of a Dynamic Power Semiconductor Tester</t>
  </si>
  <si>
    <t>MI alapú értékelőrendszer közösségi oldalak alapján</t>
  </si>
  <si>
    <t>AI-based rating system based on social media</t>
  </si>
  <si>
    <t>angol</t>
  </si>
  <si>
    <t>Szünetmentes tápegység fejlesztése</t>
  </si>
  <si>
    <t>Development of an Uninterrupted Power Supply</t>
  </si>
  <si>
    <t>Okos szerszámosláda</t>
  </si>
  <si>
    <t>Smart toolbox</t>
  </si>
  <si>
    <t>Utazásajánló cross-platform közösségi alkalmazás fejlesztése Kotlin Multiplatformon</t>
  </si>
  <si>
    <t>Development of a cross-platform social application for travel recommendations on Kotlin Multiplatform</t>
  </si>
  <si>
    <t>Indukciós gép korszerű szabályozása</t>
  </si>
  <si>
    <t>Advance control of induction machines</t>
  </si>
  <si>
    <t>2D rogue-like játék fejlesztése Android platformra</t>
  </si>
  <si>
    <t>Development of a 2D rogue-like game on the Android platform</t>
  </si>
  <si>
    <t>Mesterséges intelligencia módszerek vizsgálata körökre osztott valószínűség alapú játékban</t>
  </si>
  <si>
    <t>Investigating Artificial Intelligence Methods in a Turn-based Probability Game</t>
  </si>
  <si>
    <t>GenerateDocuments</t>
  </si>
  <si>
    <t>Szükséges külső fájlok:</t>
  </si>
  <si>
    <t>sablonok</t>
  </si>
  <si>
    <t>TemplatesAndFiles worksheet alapján</t>
  </si>
  <si>
    <t>Terhelés xls</t>
  </si>
  <si>
    <t>Zv segéd export</t>
  </si>
  <si>
    <t>Terhelés.xlsx</t>
  </si>
  <si>
    <t>reviewTemplates_reports.xlsx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</si>
</sst>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charset val="238"/>
      <scheme val="minor"/>
    </font>
    <font>
      <b/>
      <sz val="12"/>
      <color rgb="FFFFFFFF"/>
      <name val="Calibri"/>
      <family val="2"/>
      <charset val="238"/>
    </font>
    <font>
      <b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A4001F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</borders>
  <cellStyleXfs count="2">
    <xf numFmtId="0" fontId="0" fillId="0" borderId="0"/>
    <xf numFmtId="0" fontId="1" fillId="2" borderId="1"/>
  </cellStyleXfs>
  <cellXfs count="3">
    <xf numFmtId="0" fontId="0" fillId="0" borderId="0" xfId="0"/>
    <xf numFmtId="0" fontId="1" fillId="2" borderId="1" xfId="1"/>
    <xf numFmtId="0" fontId="2" fillId="0" borderId="0" xfId="0" applyFont="1"/>
  </cellXfs>
  <cellStyles count="2">
    <cellStyle name="headerStyle" xfId="1" xr:uid="{6845530C-5F7A-44AE-99E9-76EF3194F9CC}"/>
    <cellStyle name="Normá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711BB-16CA-4A6F-B783-8651BBC3F72D}">
  <sheetPr codeName="Munka1">
    <tabColor rgb="FFFF0000"/>
  </sheetPr>
  <dimension ref="A1:D9"/>
  <sheetViews>
    <sheetView tabSelected="1" workbookViewId="0">
      <selection activeCell="D10" sqref="D10"/>
    </sheetView>
  </sheetViews>
  <sheetFormatPr defaultRowHeight="15" x14ac:dyDescent="0.25"/>
  <cols>
    <col min="1" max="1" width="6" bestFit="1" customWidth="1"/>
    <col min="2" max="2" width="10.42578125" bestFit="1" customWidth="1"/>
    <col min="3" max="3" width="24.5703125" bestFit="1" customWidth="1"/>
  </cols>
  <sheetData>
    <row r="1" spans="1:4" s="2" customFormat="1" x14ac:dyDescent="0.25">
      <c r="A1" s="2" t="s">
        <v>58</v>
      </c>
      <c r="B1" s="2" t="s">
        <v>60</v>
      </c>
      <c r="C1" s="2" t="s">
        <v>59</v>
      </c>
      <c r="D1" s="2" t="s">
        <v>61</v>
      </c>
    </row>
    <row r="2" spans="1:4" x14ac:dyDescent="0.25">
      <c r="A2">
        <v>1</v>
      </c>
      <c r="B2" t="s">
        <v>63</v>
      </c>
      <c r="C2" t="s">
        <v>62</v>
      </c>
      <c r="D2" t="s">
        <v>65</v>
      </c>
    </row>
    <row r="3" spans="1:4" x14ac:dyDescent="0.25">
      <c r="A3">
        <v>2</v>
      </c>
      <c r="B3" t="s">
        <v>64</v>
      </c>
      <c r="C3" t="s">
        <v>145</v>
      </c>
      <c r="D3" t="s">
        <v>66</v>
      </c>
    </row>
    <row r="4" spans="1:4" x14ac:dyDescent="0.25">
      <c r="A4">
        <v>3</v>
      </c>
      <c r="D4" t="s">
        <v>67</v>
      </c>
    </row>
    <row r="6" spans="1:4" x14ac:dyDescent="0.25">
      <c r="A6" t="s">
        <v>146</v>
      </c>
    </row>
    <row r="7" spans="1:4" x14ac:dyDescent="0.25">
      <c r="A7" t="s">
        <v>147</v>
      </c>
      <c r="D7" t="s">
        <v>148</v>
      </c>
    </row>
    <row r="8" spans="1:4" x14ac:dyDescent="0.25">
      <c r="A8" t="s">
        <v>149</v>
      </c>
      <c r="D8" t="s">
        <v>151</v>
      </c>
    </row>
    <row r="9" spans="1:4" x14ac:dyDescent="0.25">
      <c r="A9" t="s">
        <v>150</v>
      </c>
      <c r="D9" t="s">
        <v>152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78705-867E-4798-BBF6-D52F72EC6C25}">
  <sheetPr codeName="Munka2"/>
  <dimension ref="A1:K12"/>
  <sheetViews>
    <sheetView workbookViewId="0">
      <selection activeCell="C16" sqref="C16"/>
    </sheetView>
  </sheetViews>
  <sheetFormatPr defaultRowHeight="15" x14ac:dyDescent="0.25"/>
  <cols>
    <col min="1" max="1" width="12.85546875" bestFit="1" customWidth="1"/>
    <col min="2" max="2" width="11.140625" bestFit="1" customWidth="1"/>
    <col min="3" max="3" width="9.7109375" bestFit="1" customWidth="1"/>
    <col min="4" max="4" width="22.140625" bestFit="1" customWidth="1"/>
    <col min="5" max="7" width="22.140625" customWidth="1"/>
    <col min="8" max="8" width="21.140625" bestFit="1" customWidth="1"/>
    <col min="9" max="9" width="14.7109375" bestFit="1" customWidth="1"/>
    <col min="10" max="10" width="20" bestFit="1" customWidth="1"/>
    <col min="11" max="11" width="19.28515625" bestFit="1" customWidth="1"/>
  </cols>
  <sheetData>
    <row r="1" spans="1:11" s="2" customFormat="1" x14ac:dyDescent="0.25">
      <c r="A1" s="2" t="s">
        <v>55</v>
      </c>
      <c r="B1" s="2" t="s">
        <v>54</v>
      </c>
      <c r="C1" s="2" t="s">
        <v>56</v>
      </c>
      <c r="D1" s="2" t="s">
        <v>48</v>
      </c>
      <c r="E1" s="2" t="s">
        <v>68</v>
      </c>
      <c r="F1" s="2" t="s">
        <v>69</v>
      </c>
      <c r="G1" s="2" t="s">
        <v>70</v>
      </c>
      <c r="H1" s="2" t="s">
        <v>49</v>
      </c>
      <c r="I1" s="2" t="s">
        <v>57</v>
      </c>
      <c r="J1" s="2" t="s">
        <v>89</v>
      </c>
      <c r="K1" s="2" t="s">
        <v>95</v>
      </c>
    </row>
    <row r="2" spans="1:11" x14ac:dyDescent="0.25">
      <c r="A2" t="s">
        <v>81</v>
      </c>
      <c r="B2" t="s">
        <v>82</v>
      </c>
      <c r="C2" t="s">
        <v>3</v>
      </c>
      <c r="D2" t="str">
        <f>IFERROR(VLOOKUP($C2,'Tantárgyi adatok'!B:F,2,FALSE),"nincs")</f>
        <v>Diplomatervezés</v>
      </c>
      <c r="E2" t="s">
        <v>83</v>
      </c>
      <c r="F2" t="s">
        <v>84</v>
      </c>
      <c r="G2" t="s">
        <v>85</v>
      </c>
      <c r="H2" t="str">
        <f>IFERROR(VLOOKUP($C2,'Tantárgyi adatok'!B:F,3,FALSE),"nincs")</f>
        <v>Mérnökinformatikus</v>
      </c>
      <c r="I2" t="s">
        <v>80</v>
      </c>
      <c r="J2" t="str">
        <f>IFERROR(VLOOKUP($C2,'Tantárgyi adatok'!B:F,4,FALSE),"nincs")</f>
        <v>MSc</v>
      </c>
      <c r="K2" t="str">
        <f>IFERROR(VLOOKUP($C2,'Tantárgyi adatok'!B:F,5,FALSE),"nincs")</f>
        <v>Computer Engineering</v>
      </c>
    </row>
    <row r="3" spans="1:11" x14ac:dyDescent="0.25">
      <c r="A3" t="s">
        <v>99</v>
      </c>
      <c r="B3" t="s">
        <v>100</v>
      </c>
      <c r="C3" t="s">
        <v>5</v>
      </c>
      <c r="D3" t="str">
        <f>IFERROR(VLOOKUP($C3,'Tantárgyi adatok'!B:F,2,FALSE),"nincs")</f>
        <v>Diplomatervezés</v>
      </c>
      <c r="E3" t="s">
        <v>124</v>
      </c>
      <c r="F3" t="s">
        <v>125</v>
      </c>
      <c r="G3" t="s">
        <v>132</v>
      </c>
      <c r="H3" t="str">
        <f>IFERROR(VLOOKUP($C3,'Tantárgyi adatok'!B:F,3,FALSE),"nincs")</f>
        <v>Mérnökinformatikus</v>
      </c>
      <c r="I3" t="s">
        <v>97</v>
      </c>
      <c r="J3" t="str">
        <f>IFERROR(VLOOKUP($C3,'Tantárgyi adatok'!B:F,4,FALSE),"nincs")</f>
        <v>MSc</v>
      </c>
      <c r="K3" t="str">
        <f>IFERROR(VLOOKUP($C3,'Tantárgyi adatok'!B:F,5,FALSE),"nincs")</f>
        <v>Computer Engineering</v>
      </c>
    </row>
    <row r="4" spans="1:11" x14ac:dyDescent="0.25">
      <c r="A4" t="s">
        <v>101</v>
      </c>
      <c r="B4" t="s">
        <v>102</v>
      </c>
      <c r="C4" t="s">
        <v>7</v>
      </c>
      <c r="D4" t="str">
        <f>IFERROR(VLOOKUP($C4,'Tantárgyi adatok'!B:F,2,FALSE),"nincs")</f>
        <v>Diplomatervezés</v>
      </c>
      <c r="E4" t="s">
        <v>126</v>
      </c>
      <c r="F4" t="s">
        <v>127</v>
      </c>
      <c r="G4" t="s">
        <v>85</v>
      </c>
      <c r="H4" t="str">
        <f>IFERROR(VLOOKUP($C4,'Tantárgyi adatok'!B:F,3,FALSE),"nincs")</f>
        <v>Villamosmérnök</v>
      </c>
      <c r="I4" t="s">
        <v>103</v>
      </c>
      <c r="J4" t="str">
        <f>IFERROR(VLOOKUP($C4,'Tantárgyi adatok'!B:F,4,FALSE),"nincs")</f>
        <v>MSc</v>
      </c>
      <c r="K4" t="str">
        <f>IFERROR(VLOOKUP($C4,'Tantárgyi adatok'!B:F,5,FALSE),"nincs")</f>
        <v>Electrical Engineering</v>
      </c>
    </row>
    <row r="5" spans="1:11" x14ac:dyDescent="0.25">
      <c r="A5" t="s">
        <v>104</v>
      </c>
      <c r="B5" t="s">
        <v>105</v>
      </c>
      <c r="C5" t="s">
        <v>9</v>
      </c>
      <c r="D5" t="str">
        <f>IFERROR(VLOOKUP($C5,'Tantárgyi adatok'!B:F,2,FALSE),"nincs")</f>
        <v>Diplomatervezés</v>
      </c>
      <c r="E5" t="s">
        <v>128</v>
      </c>
      <c r="F5" t="s">
        <v>129</v>
      </c>
      <c r="G5" t="s">
        <v>132</v>
      </c>
      <c r="H5" t="str">
        <f>IFERROR(VLOOKUP($C5,'Tantárgyi adatok'!B:F,3,FALSE),"nincs")</f>
        <v>Villamosmérnök</v>
      </c>
      <c r="I5" t="s">
        <v>106</v>
      </c>
      <c r="J5" t="str">
        <f>IFERROR(VLOOKUP($C5,'Tantárgyi adatok'!B:F,4,FALSE),"nincs")</f>
        <v>MSc</v>
      </c>
      <c r="K5" t="str">
        <f>IFERROR(VLOOKUP($C5,'Tantárgyi adatok'!B:F,5,FALSE),"nincs")</f>
        <v>Electrical Engineering</v>
      </c>
    </row>
    <row r="6" spans="1:11" x14ac:dyDescent="0.25">
      <c r="A6" t="s">
        <v>107</v>
      </c>
      <c r="B6" t="s">
        <v>108</v>
      </c>
      <c r="C6" t="s">
        <v>9</v>
      </c>
      <c r="D6" t="str">
        <f>IFERROR(VLOOKUP($C6,'Tantárgyi adatok'!B:F,2,FALSE),"nincs")</f>
        <v>Diplomatervezés</v>
      </c>
      <c r="E6" t="s">
        <v>130</v>
      </c>
      <c r="F6" t="s">
        <v>131</v>
      </c>
      <c r="G6" t="s">
        <v>85</v>
      </c>
      <c r="H6" t="str">
        <f>IFERROR(VLOOKUP($C6,'Tantárgyi adatok'!B:F,3,FALSE),"nincs")</f>
        <v>Villamosmérnök</v>
      </c>
      <c r="I6" t="s">
        <v>109</v>
      </c>
      <c r="J6" t="str">
        <f>IFERROR(VLOOKUP($C6,'Tantárgyi adatok'!B:F,4,FALSE),"nincs")</f>
        <v>MSc</v>
      </c>
      <c r="K6" t="str">
        <f>IFERROR(VLOOKUP($C6,'Tantárgyi adatok'!B:F,5,FALSE),"nincs")</f>
        <v>Electrical Engineering</v>
      </c>
    </row>
    <row r="7" spans="1:11" x14ac:dyDescent="0.25">
      <c r="A7" t="s">
        <v>110</v>
      </c>
      <c r="B7" t="s">
        <v>111</v>
      </c>
      <c r="C7" t="s">
        <v>17</v>
      </c>
      <c r="D7" t="str">
        <f>IFERROR(VLOOKUP($C7,'Tantárgyi adatok'!B:F,2,FALSE),"nincs")</f>
        <v>Diplomatervezés</v>
      </c>
      <c r="E7" t="s">
        <v>133</v>
      </c>
      <c r="F7" t="s">
        <v>134</v>
      </c>
      <c r="G7" t="s">
        <v>85</v>
      </c>
      <c r="H7" t="str">
        <f>IFERROR(VLOOKUP($C7,'Tantárgyi adatok'!B:F,3,FALSE),"nincs")</f>
        <v>Mechatronikai mérnök</v>
      </c>
      <c r="I7" t="s">
        <v>112</v>
      </c>
      <c r="J7" t="str">
        <f>IFERROR(VLOOKUP($C7,'Tantárgyi adatok'!B:F,4,FALSE),"nincs")</f>
        <v>MSc</v>
      </c>
      <c r="K7" t="str">
        <f>IFERROR(VLOOKUP($C7,'Tantárgyi adatok'!B:F,5,FALSE),"nincs")</f>
        <v>Mechatronic Engineering</v>
      </c>
    </row>
    <row r="8" spans="1:11" x14ac:dyDescent="0.25">
      <c r="A8" t="s">
        <v>113</v>
      </c>
      <c r="B8" t="s">
        <v>114</v>
      </c>
      <c r="C8" t="s">
        <v>17</v>
      </c>
      <c r="D8" t="str">
        <f>IFERROR(VLOOKUP($C8,'Tantárgyi adatok'!B:F,2,FALSE),"nincs")</f>
        <v>Diplomatervezés</v>
      </c>
      <c r="E8" t="s">
        <v>135</v>
      </c>
      <c r="F8" t="s">
        <v>136</v>
      </c>
      <c r="G8" t="s">
        <v>132</v>
      </c>
      <c r="H8" t="str">
        <f>IFERROR(VLOOKUP($C8,'Tantárgyi adatok'!B:F,3,FALSE),"nincs")</f>
        <v>Mechatronikai mérnök</v>
      </c>
      <c r="I8" t="s">
        <v>112</v>
      </c>
      <c r="J8" t="str">
        <f>IFERROR(VLOOKUP($C8,'Tantárgyi adatok'!B:F,4,FALSE),"nincs")</f>
        <v>MSc</v>
      </c>
      <c r="K8" t="str">
        <f>IFERROR(VLOOKUP($C8,'Tantárgyi adatok'!B:F,5,FALSE),"nincs")</f>
        <v>Mechatronic Engineering</v>
      </c>
    </row>
    <row r="9" spans="1:11" x14ac:dyDescent="0.25">
      <c r="A9" t="s">
        <v>116</v>
      </c>
      <c r="B9" t="s">
        <v>117</v>
      </c>
      <c r="C9" t="s">
        <v>39</v>
      </c>
      <c r="D9" t="str">
        <f>IFERROR(VLOOKUP($C9,'Tantárgyi adatok'!B:F,2,FALSE),"nincs")</f>
        <v>Szakdolgozat</v>
      </c>
      <c r="E9" t="s">
        <v>137</v>
      </c>
      <c r="F9" t="s">
        <v>138</v>
      </c>
      <c r="G9" t="s">
        <v>85</v>
      </c>
      <c r="H9" t="str">
        <f>IFERROR(VLOOKUP($C9,'Tantárgyi adatok'!B:F,3,FALSE),"nincs")</f>
        <v>Mechatronikai mérnök</v>
      </c>
      <c r="I9" t="s">
        <v>115</v>
      </c>
      <c r="J9" t="str">
        <f>IFERROR(VLOOKUP($C9,'Tantárgyi adatok'!B:F,4,FALSE),"nincs")</f>
        <v>BSc</v>
      </c>
      <c r="K9" t="str">
        <f>IFERROR(VLOOKUP($C9,'Tantárgyi adatok'!B:F,5,FALSE),"nincs")</f>
        <v>Electrical Engineering</v>
      </c>
    </row>
    <row r="10" spans="1:11" x14ac:dyDescent="0.25">
      <c r="A10" t="s">
        <v>118</v>
      </c>
      <c r="B10" t="s">
        <v>119</v>
      </c>
      <c r="C10" t="s">
        <v>39</v>
      </c>
      <c r="D10" t="str">
        <f>IFERROR(VLOOKUP($C10,'Tantárgyi adatok'!B:F,2,FALSE),"nincs")</f>
        <v>Szakdolgozat</v>
      </c>
      <c r="E10" t="s">
        <v>139</v>
      </c>
      <c r="F10" t="s">
        <v>140</v>
      </c>
      <c r="G10" t="s">
        <v>132</v>
      </c>
      <c r="H10" t="str">
        <f>IFERROR(VLOOKUP($C10,'Tantárgyi adatok'!B:F,3,FALSE),"nincs")</f>
        <v>Mechatronikai mérnök</v>
      </c>
      <c r="I10" t="s">
        <v>98</v>
      </c>
      <c r="J10" t="str">
        <f>IFERROR(VLOOKUP($C10,'Tantárgyi adatok'!B:F,4,FALSE),"nincs")</f>
        <v>BSc</v>
      </c>
      <c r="K10" t="str">
        <f>IFERROR(VLOOKUP($C10,'Tantárgyi adatok'!B:F,5,FALSE),"nincs")</f>
        <v>Electrical Engineering</v>
      </c>
    </row>
    <row r="11" spans="1:11" x14ac:dyDescent="0.25">
      <c r="A11" t="s">
        <v>120</v>
      </c>
      <c r="B11" t="s">
        <v>121</v>
      </c>
      <c r="C11" t="s">
        <v>45</v>
      </c>
      <c r="D11" t="str">
        <f>IFERROR(VLOOKUP($C11,'Tantárgyi adatok'!B:F,2,FALSE),"nincs")</f>
        <v>Szakdolgozat</v>
      </c>
      <c r="E11" t="s">
        <v>141</v>
      </c>
      <c r="F11" t="s">
        <v>142</v>
      </c>
      <c r="G11" t="s">
        <v>85</v>
      </c>
      <c r="H11" t="str">
        <f>IFERROR(VLOOKUP($C11,'Tantárgyi adatok'!B:F,3,FALSE),"nincs")</f>
        <v>Mérnökinformatikus</v>
      </c>
      <c r="I11" t="s">
        <v>80</v>
      </c>
      <c r="J11" t="str">
        <f>IFERROR(VLOOKUP($C11,'Tantárgyi adatok'!B:F,4,FALSE),"nincs")</f>
        <v>BSc</v>
      </c>
      <c r="K11" t="str">
        <f>IFERROR(VLOOKUP($C11,'Tantárgyi adatok'!B:F,5,FALSE),"nincs")</f>
        <v>Computer Engineering</v>
      </c>
    </row>
    <row r="12" spans="1:11" x14ac:dyDescent="0.25">
      <c r="A12" t="s">
        <v>122</v>
      </c>
      <c r="B12" t="s">
        <v>123</v>
      </c>
      <c r="C12" t="s">
        <v>45</v>
      </c>
      <c r="D12" t="str">
        <f>IFERROR(VLOOKUP($C12,'Tantárgyi adatok'!B:F,2,FALSE),"nincs")</f>
        <v>Szakdolgozat</v>
      </c>
      <c r="E12" t="s">
        <v>143</v>
      </c>
      <c r="F12" t="s">
        <v>144</v>
      </c>
      <c r="G12" t="s">
        <v>132</v>
      </c>
      <c r="H12" t="str">
        <f>IFERROR(VLOOKUP($C12,'Tantárgyi adatok'!B:F,3,FALSE),"nincs")</f>
        <v>Mérnökinformatikus</v>
      </c>
      <c r="I12" t="s">
        <v>80</v>
      </c>
      <c r="J12" t="str">
        <f>IFERROR(VLOOKUP($C12,'Tantárgyi adatok'!B:F,4,FALSE),"nincs")</f>
        <v>BSc</v>
      </c>
      <c r="K12" t="str">
        <f>IFERROR(VLOOKUP($C12,'Tantárgyi adatok'!B:F,5,FALSE),"nincs")</f>
        <v>Computer Engineering</v>
      </c>
    </row>
  </sheetData>
  <sortState xmlns:xlrd2="http://schemas.microsoft.com/office/spreadsheetml/2017/richdata2" ref="A2:I2">
    <sortCondition ref="D1:D2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4B73A-E754-4766-BBD1-BF3947DED9AB}">
  <sheetPr codeName="Munka3">
    <tabColor theme="0" tint="-0.499984740745262"/>
  </sheetPr>
  <dimension ref="A1:F24"/>
  <sheetViews>
    <sheetView workbookViewId="0">
      <selection activeCell="E4" sqref="E4"/>
    </sheetView>
  </sheetViews>
  <sheetFormatPr defaultRowHeight="15" x14ac:dyDescent="0.25"/>
  <cols>
    <col min="1" max="1" width="54" customWidth="1"/>
    <col min="2" max="2" width="11" customWidth="1"/>
    <col min="3" max="3" width="23.42578125" bestFit="1" customWidth="1"/>
    <col min="4" max="4" width="21.140625" bestFit="1" customWidth="1"/>
    <col min="5" max="6" width="21.140625" customWidth="1"/>
  </cols>
  <sheetData>
    <row r="1" spans="1:6" ht="16.5" thickBot="1" x14ac:dyDescent="0.3">
      <c r="A1" s="1" t="s">
        <v>0</v>
      </c>
      <c r="B1" s="1" t="s">
        <v>1</v>
      </c>
      <c r="C1" s="1" t="s">
        <v>48</v>
      </c>
      <c r="D1" s="1" t="s">
        <v>49</v>
      </c>
      <c r="E1" s="1" t="s">
        <v>89</v>
      </c>
      <c r="F1" s="1" t="s">
        <v>95</v>
      </c>
    </row>
    <row r="2" spans="1:6" x14ac:dyDescent="0.25">
      <c r="A2" t="s">
        <v>38</v>
      </c>
      <c r="B2" t="s">
        <v>39</v>
      </c>
      <c r="C2" t="s">
        <v>53</v>
      </c>
      <c r="D2" t="s">
        <v>52</v>
      </c>
      <c r="E2" t="s">
        <v>90</v>
      </c>
      <c r="F2" t="s">
        <v>92</v>
      </c>
    </row>
    <row r="3" spans="1:6" x14ac:dyDescent="0.25">
      <c r="A3" t="s">
        <v>20</v>
      </c>
      <c r="B3" t="s">
        <v>21</v>
      </c>
    </row>
    <row r="4" spans="1:6" x14ac:dyDescent="0.25">
      <c r="A4" t="s">
        <v>24</v>
      </c>
      <c r="B4" t="s">
        <v>25</v>
      </c>
    </row>
    <row r="5" spans="1:6" x14ac:dyDescent="0.25">
      <c r="A5" t="s">
        <v>22</v>
      </c>
      <c r="B5" t="s">
        <v>23</v>
      </c>
    </row>
    <row r="6" spans="1:6" x14ac:dyDescent="0.25">
      <c r="A6" t="s">
        <v>44</v>
      </c>
      <c r="B6" t="s">
        <v>45</v>
      </c>
      <c r="C6" t="s">
        <v>53</v>
      </c>
      <c r="D6" t="s">
        <v>50</v>
      </c>
      <c r="E6" t="s">
        <v>90</v>
      </c>
      <c r="F6" t="s">
        <v>93</v>
      </c>
    </row>
    <row r="7" spans="1:6" x14ac:dyDescent="0.25">
      <c r="A7" t="s">
        <v>42</v>
      </c>
      <c r="B7" t="s">
        <v>43</v>
      </c>
      <c r="C7" t="s">
        <v>53</v>
      </c>
      <c r="D7" t="s">
        <v>51</v>
      </c>
      <c r="E7" t="s">
        <v>90</v>
      </c>
      <c r="F7" t="s">
        <v>92</v>
      </c>
    </row>
    <row r="8" spans="1:6" x14ac:dyDescent="0.25">
      <c r="A8" t="s">
        <v>46</v>
      </c>
      <c r="B8" t="s">
        <v>47</v>
      </c>
      <c r="C8" t="s">
        <v>53</v>
      </c>
      <c r="D8" t="s">
        <v>50</v>
      </c>
      <c r="E8" t="s">
        <v>90</v>
      </c>
      <c r="F8" t="s">
        <v>93</v>
      </c>
    </row>
    <row r="9" spans="1:6" x14ac:dyDescent="0.25">
      <c r="A9" t="s">
        <v>40</v>
      </c>
      <c r="B9" t="s">
        <v>41</v>
      </c>
      <c r="C9" t="s">
        <v>53</v>
      </c>
      <c r="D9" t="s">
        <v>51</v>
      </c>
      <c r="E9" t="s">
        <v>90</v>
      </c>
      <c r="F9" t="s">
        <v>92</v>
      </c>
    </row>
    <row r="10" spans="1:6" x14ac:dyDescent="0.25">
      <c r="A10" t="s">
        <v>16</v>
      </c>
      <c r="B10" t="s">
        <v>17</v>
      </c>
      <c r="C10" t="s">
        <v>96</v>
      </c>
      <c r="D10" t="s">
        <v>52</v>
      </c>
      <c r="E10" t="s">
        <v>91</v>
      </c>
      <c r="F10" t="s">
        <v>94</v>
      </c>
    </row>
    <row r="11" spans="1:6" x14ac:dyDescent="0.25">
      <c r="A11" t="s">
        <v>18</v>
      </c>
      <c r="B11" t="s">
        <v>19</v>
      </c>
    </row>
    <row r="12" spans="1:6" x14ac:dyDescent="0.25">
      <c r="A12" t="s">
        <v>36</v>
      </c>
      <c r="B12" t="s">
        <v>37</v>
      </c>
    </row>
    <row r="13" spans="1:6" x14ac:dyDescent="0.25">
      <c r="A13" t="s">
        <v>28</v>
      </c>
      <c r="B13" t="s">
        <v>29</v>
      </c>
    </row>
    <row r="14" spans="1:6" x14ac:dyDescent="0.25">
      <c r="A14" t="s">
        <v>26</v>
      </c>
      <c r="B14" t="s">
        <v>27</v>
      </c>
    </row>
    <row r="15" spans="1:6" x14ac:dyDescent="0.25">
      <c r="A15" t="s">
        <v>32</v>
      </c>
      <c r="B15" t="s">
        <v>33</v>
      </c>
    </row>
    <row r="16" spans="1:6" x14ac:dyDescent="0.25">
      <c r="A16" t="s">
        <v>30</v>
      </c>
      <c r="B16" t="s">
        <v>31</v>
      </c>
    </row>
    <row r="17" spans="1:6" x14ac:dyDescent="0.25">
      <c r="A17" t="s">
        <v>34</v>
      </c>
      <c r="B17" t="s">
        <v>35</v>
      </c>
    </row>
    <row r="18" spans="1:6" x14ac:dyDescent="0.25">
      <c r="A18" t="s">
        <v>2</v>
      </c>
      <c r="B18" t="s">
        <v>3</v>
      </c>
      <c r="C18" t="s">
        <v>96</v>
      </c>
      <c r="D18" t="s">
        <v>50</v>
      </c>
      <c r="E18" t="s">
        <v>91</v>
      </c>
      <c r="F18" t="s">
        <v>93</v>
      </c>
    </row>
    <row r="19" spans="1:6" x14ac:dyDescent="0.25">
      <c r="A19" t="s">
        <v>6</v>
      </c>
      <c r="B19" t="s">
        <v>7</v>
      </c>
      <c r="C19" t="s">
        <v>96</v>
      </c>
      <c r="D19" t="s">
        <v>51</v>
      </c>
      <c r="E19" t="s">
        <v>91</v>
      </c>
      <c r="F19" t="s">
        <v>92</v>
      </c>
    </row>
    <row r="20" spans="1:6" x14ac:dyDescent="0.25">
      <c r="A20" t="s">
        <v>12</v>
      </c>
      <c r="B20" t="s">
        <v>13</v>
      </c>
    </row>
    <row r="21" spans="1:6" x14ac:dyDescent="0.25">
      <c r="A21" t="s">
        <v>4</v>
      </c>
      <c r="B21" t="s">
        <v>5</v>
      </c>
      <c r="C21" t="s">
        <v>96</v>
      </c>
      <c r="D21" t="s">
        <v>50</v>
      </c>
      <c r="E21" t="s">
        <v>91</v>
      </c>
      <c r="F21" t="s">
        <v>93</v>
      </c>
    </row>
    <row r="22" spans="1:6" x14ac:dyDescent="0.25">
      <c r="A22" t="s">
        <v>10</v>
      </c>
      <c r="B22" t="s">
        <v>11</v>
      </c>
    </row>
    <row r="23" spans="1:6" x14ac:dyDescent="0.25">
      <c r="A23" t="s">
        <v>8</v>
      </c>
      <c r="B23" t="s">
        <v>9</v>
      </c>
      <c r="C23" t="s">
        <v>96</v>
      </c>
      <c r="D23" t="s">
        <v>51</v>
      </c>
      <c r="E23" t="s">
        <v>91</v>
      </c>
      <c r="F23" t="s">
        <v>92</v>
      </c>
    </row>
    <row r="24" spans="1:6" x14ac:dyDescent="0.25">
      <c r="A24" t="s">
        <v>14</v>
      </c>
      <c r="B24" t="s">
        <v>15</v>
      </c>
    </row>
  </sheetData>
  <sortState xmlns:xlrd2="http://schemas.microsoft.com/office/spreadsheetml/2017/richdata2" ref="A2:B24">
    <sortCondition ref="B1:B24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06021-D96B-4C67-A763-D8E26B0BBE56}">
  <sheetPr codeName="Munka5">
    <tabColor theme="0" tint="-0.499984740745262"/>
  </sheetPr>
  <dimension ref="A1:C4"/>
  <sheetViews>
    <sheetView workbookViewId="0">
      <selection activeCell="A5" sqref="A5"/>
    </sheetView>
  </sheetViews>
  <sheetFormatPr defaultRowHeight="15" x14ac:dyDescent="0.25"/>
  <cols>
    <col min="1" max="1" width="21.85546875" customWidth="1"/>
    <col min="2" max="2" width="33.5703125" customWidth="1"/>
    <col min="3" max="3" width="30.140625" customWidth="1"/>
  </cols>
  <sheetData>
    <row r="1" spans="1:3" s="2" customFormat="1" x14ac:dyDescent="0.25">
      <c r="A1" s="2" t="s">
        <v>71</v>
      </c>
      <c r="B1" s="2" t="s">
        <v>72</v>
      </c>
      <c r="C1" s="2" t="s">
        <v>73</v>
      </c>
    </row>
    <row r="2" spans="1:3" x14ac:dyDescent="0.25">
      <c r="A2" t="s">
        <v>86</v>
      </c>
      <c r="B2" t="s">
        <v>74</v>
      </c>
      <c r="C2" t="s">
        <v>75</v>
      </c>
    </row>
    <row r="3" spans="1:3" x14ac:dyDescent="0.25">
      <c r="A3" t="s">
        <v>87</v>
      </c>
      <c r="B3" t="s">
        <v>76</v>
      </c>
      <c r="C3" t="s">
        <v>77</v>
      </c>
    </row>
    <row r="4" spans="1:3" x14ac:dyDescent="0.25">
      <c r="A4" t="s">
        <v>88</v>
      </c>
      <c r="B4" t="s">
        <v>78</v>
      </c>
      <c r="C4" t="s">
        <v>79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4</vt:i4>
      </vt:variant>
    </vt:vector>
  </HeadingPairs>
  <TitlesOfParts>
    <vt:vector size="4" baseType="lpstr">
      <vt:lpstr>Útmutató</vt:lpstr>
      <vt:lpstr>GeneráltHallgatóiLista</vt:lpstr>
      <vt:lpstr>Tantárgyi adatok</vt:lpstr>
      <vt:lpstr>TemplatesAndFiles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Csorba Kristóf</dc:creator>
  <cp:lastModifiedBy>Csorba Kristóf</cp:lastModifiedBy>
  <dcterms:created xsi:type="dcterms:W3CDTF">2025-09-26T08:13:19Z</dcterms:created>
  <dcterms:modified xsi:type="dcterms:W3CDTF">2025-11-12T10:19:35Z</dcterms:modified>
</cp:coreProperties>
</file>