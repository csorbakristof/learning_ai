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rist\Documents\learning_ai\AUT_KiirasEsBiralatiSablonGeneralo\"/>
    </mc:Choice>
  </mc:AlternateContent>
  <xr:revisionPtr revIDLastSave="0" documentId="13_ncr:1_{AE564C6A-4D44-4EC0-BAA4-2376E2253FF7}" xr6:coauthVersionLast="47" xr6:coauthVersionMax="47" xr10:uidLastSave="{00000000-0000-0000-0000-000000000000}"/>
  <bookViews>
    <workbookView xWindow="-98" yWindow="-98" windowWidth="21795" windowHeight="12975" xr2:uid="{1DD76C52-3F59-4F1E-B750-DCFFDBCB0331}"/>
  </bookViews>
  <sheets>
    <sheet name="Útmutató" sheetId="1" r:id="rId1"/>
    <sheet name="GeneráltHallgatóiLista" sheetId="3" r:id="rId2"/>
    <sheet name="StudentsWithoutAutPortalEntry" sheetId="7" r:id="rId3"/>
    <sheet name="Tantárgyi adatok" sheetId="2" r:id="rId4"/>
    <sheet name="TemplatesAndFiles" sheetId="6" r:id="rId5"/>
  </sheets>
  <definedNames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9" i="3" l="1"/>
  <c r="J99" i="3"/>
  <c r="H99" i="3"/>
  <c r="D99" i="3"/>
  <c r="K98" i="3"/>
  <c r="J98" i="3"/>
  <c r="H98" i="3"/>
  <c r="D98" i="3"/>
  <c r="K97" i="3"/>
  <c r="J97" i="3"/>
  <c r="H97" i="3"/>
  <c r="D97" i="3"/>
  <c r="K96" i="3"/>
  <c r="J96" i="3"/>
  <c r="H96" i="3"/>
  <c r="D96" i="3"/>
  <c r="K95" i="3"/>
  <c r="J95" i="3"/>
  <c r="H95" i="3"/>
  <c r="D95" i="3"/>
  <c r="K94" i="3"/>
  <c r="J94" i="3"/>
  <c r="H94" i="3"/>
  <c r="D94" i="3"/>
  <c r="K93" i="3"/>
  <c r="J93" i="3"/>
  <c r="H93" i="3"/>
  <c r="D93" i="3"/>
  <c r="K92" i="3"/>
  <c r="J92" i="3"/>
  <c r="H92" i="3"/>
  <c r="D92" i="3"/>
  <c r="K91" i="3"/>
  <c r="J91" i="3"/>
  <c r="H91" i="3"/>
  <c r="D91" i="3"/>
  <c r="K90" i="3"/>
  <c r="J90" i="3"/>
  <c r="H90" i="3"/>
  <c r="D90" i="3"/>
  <c r="K89" i="3"/>
  <c r="J89" i="3"/>
  <c r="H89" i="3"/>
  <c r="D89" i="3"/>
  <c r="K88" i="3"/>
  <c r="J88" i="3"/>
  <c r="H88" i="3"/>
  <c r="D88" i="3"/>
  <c r="K87" i="3"/>
  <c r="J87" i="3"/>
  <c r="H87" i="3"/>
  <c r="D87" i="3"/>
  <c r="K86" i="3"/>
  <c r="J86" i="3"/>
  <c r="H86" i="3"/>
  <c r="D86" i="3"/>
  <c r="K85" i="3"/>
  <c r="J85" i="3"/>
  <c r="H85" i="3"/>
  <c r="D85" i="3"/>
  <c r="K84" i="3"/>
  <c r="J84" i="3"/>
  <c r="H84" i="3"/>
  <c r="D84" i="3"/>
  <c r="K83" i="3"/>
  <c r="J83" i="3"/>
  <c r="H83" i="3"/>
  <c r="D83" i="3"/>
  <c r="K82" i="3"/>
  <c r="J82" i="3"/>
  <c r="H82" i="3"/>
  <c r="D82" i="3"/>
  <c r="K81" i="3"/>
  <c r="J81" i="3"/>
  <c r="H81" i="3"/>
  <c r="D81" i="3"/>
  <c r="K80" i="3"/>
  <c r="J80" i="3"/>
  <c r="H80" i="3"/>
  <c r="D80" i="3"/>
  <c r="K79" i="3"/>
  <c r="J79" i="3"/>
  <c r="H79" i="3"/>
  <c r="D79" i="3"/>
  <c r="K78" i="3"/>
  <c r="J78" i="3"/>
  <c r="H78" i="3"/>
  <c r="D78" i="3"/>
  <c r="K77" i="3"/>
  <c r="J77" i="3"/>
  <c r="H77" i="3"/>
  <c r="D77" i="3"/>
  <c r="K76" i="3"/>
  <c r="J76" i="3"/>
  <c r="H76" i="3"/>
  <c r="D76" i="3"/>
  <c r="K75" i="3"/>
  <c r="J75" i="3"/>
  <c r="H75" i="3"/>
  <c r="D75" i="3"/>
  <c r="K74" i="3"/>
  <c r="J74" i="3"/>
  <c r="H74" i="3"/>
  <c r="D74" i="3"/>
  <c r="K73" i="3"/>
  <c r="J73" i="3"/>
  <c r="H73" i="3"/>
  <c r="D73" i="3"/>
  <c r="K72" i="3"/>
  <c r="J72" i="3"/>
  <c r="H72" i="3"/>
  <c r="D72" i="3"/>
  <c r="K71" i="3"/>
  <c r="J71" i="3"/>
  <c r="H71" i="3"/>
  <c r="D71" i="3"/>
  <c r="K70" i="3"/>
  <c r="J70" i="3"/>
  <c r="H70" i="3"/>
  <c r="D70" i="3"/>
  <c r="K69" i="3"/>
  <c r="J69" i="3"/>
  <c r="H69" i="3"/>
  <c r="D69" i="3"/>
  <c r="K68" i="3"/>
  <c r="J68" i="3"/>
  <c r="H68" i="3"/>
  <c r="D68" i="3"/>
  <c r="K67" i="3"/>
  <c r="J67" i="3"/>
  <c r="H67" i="3"/>
  <c r="D67" i="3"/>
  <c r="K66" i="3"/>
  <c r="J66" i="3"/>
  <c r="H66" i="3"/>
  <c r="D66" i="3"/>
  <c r="K65" i="3"/>
  <c r="J65" i="3"/>
  <c r="H65" i="3"/>
  <c r="D65" i="3"/>
  <c r="K64" i="3"/>
  <c r="J64" i="3"/>
  <c r="H64" i="3"/>
  <c r="D64" i="3"/>
  <c r="K63" i="3"/>
  <c r="J63" i="3"/>
  <c r="H63" i="3"/>
  <c r="D63" i="3"/>
  <c r="K62" i="3"/>
  <c r="J62" i="3"/>
  <c r="H62" i="3"/>
  <c r="D62" i="3"/>
  <c r="K61" i="3"/>
  <c r="J61" i="3"/>
  <c r="H61" i="3"/>
  <c r="D61" i="3"/>
  <c r="K60" i="3"/>
  <c r="J60" i="3"/>
  <c r="H60" i="3"/>
  <c r="D60" i="3"/>
  <c r="K59" i="3"/>
  <c r="J59" i="3"/>
  <c r="H59" i="3"/>
  <c r="D59" i="3"/>
  <c r="K58" i="3"/>
  <c r="J58" i="3"/>
  <c r="H58" i="3"/>
  <c r="D58" i="3"/>
  <c r="K57" i="3"/>
  <c r="J57" i="3"/>
  <c r="H57" i="3"/>
  <c r="D57" i="3"/>
  <c r="K56" i="3"/>
  <c r="J56" i="3"/>
  <c r="H56" i="3"/>
  <c r="D56" i="3"/>
  <c r="K55" i="3"/>
  <c r="J55" i="3"/>
  <c r="H55" i="3"/>
  <c r="D55" i="3"/>
  <c r="K54" i="3"/>
  <c r="J54" i="3"/>
  <c r="H54" i="3"/>
  <c r="D54" i="3"/>
  <c r="K53" i="3"/>
  <c r="J53" i="3"/>
  <c r="H53" i="3"/>
  <c r="D53" i="3"/>
  <c r="K52" i="3"/>
  <c r="J52" i="3"/>
  <c r="H52" i="3"/>
  <c r="D52" i="3"/>
  <c r="K51" i="3"/>
  <c r="J51" i="3"/>
  <c r="H51" i="3"/>
  <c r="D51" i="3"/>
  <c r="K50" i="3"/>
  <c r="J50" i="3"/>
  <c r="H50" i="3"/>
  <c r="D50" i="3"/>
  <c r="K49" i="3"/>
  <c r="J49" i="3"/>
  <c r="H49" i="3"/>
  <c r="D49" i="3"/>
  <c r="K48" i="3"/>
  <c r="J48" i="3"/>
  <c r="H48" i="3"/>
  <c r="D48" i="3"/>
  <c r="K47" i="3"/>
  <c r="J47" i="3"/>
  <c r="H47" i="3"/>
  <c r="D47" i="3"/>
  <c r="K46" i="3"/>
  <c r="J46" i="3"/>
  <c r="H46" i="3"/>
  <c r="D46" i="3"/>
  <c r="K45" i="3"/>
  <c r="J45" i="3"/>
  <c r="H45" i="3"/>
  <c r="D45" i="3"/>
  <c r="K44" i="3"/>
  <c r="J44" i="3"/>
  <c r="H44" i="3"/>
  <c r="D44" i="3"/>
  <c r="K43" i="3"/>
  <c r="J43" i="3"/>
  <c r="H43" i="3"/>
  <c r="D43" i="3"/>
  <c r="K42" i="3"/>
  <c r="J42" i="3"/>
  <c r="H42" i="3"/>
  <c r="D42" i="3"/>
  <c r="K41" i="3"/>
  <c r="J41" i="3"/>
  <c r="H41" i="3"/>
  <c r="D41" i="3"/>
  <c r="K40" i="3"/>
  <c r="J40" i="3"/>
  <c r="H40" i="3"/>
  <c r="D40" i="3"/>
  <c r="K39" i="3"/>
  <c r="J39" i="3"/>
  <c r="H39" i="3"/>
  <c r="D39" i="3"/>
  <c r="K38" i="3"/>
  <c r="J38" i="3"/>
  <c r="H38" i="3"/>
  <c r="D38" i="3"/>
  <c r="K37" i="3"/>
  <c r="J37" i="3"/>
  <c r="H37" i="3"/>
  <c r="D37" i="3"/>
  <c r="K36" i="3"/>
  <c r="J36" i="3"/>
  <c r="H36" i="3"/>
  <c r="D36" i="3"/>
  <c r="K35" i="3"/>
  <c r="J35" i="3"/>
  <c r="H35" i="3"/>
  <c r="D35" i="3"/>
  <c r="K34" i="3"/>
  <c r="J34" i="3"/>
  <c r="H34" i="3"/>
  <c r="D34" i="3"/>
  <c r="K33" i="3"/>
  <c r="J33" i="3"/>
  <c r="H33" i="3"/>
  <c r="D33" i="3"/>
  <c r="K32" i="3"/>
  <c r="J32" i="3"/>
  <c r="H32" i="3"/>
  <c r="D32" i="3"/>
  <c r="K31" i="3"/>
  <c r="J31" i="3"/>
  <c r="H31" i="3"/>
  <c r="D31" i="3"/>
  <c r="K30" i="3"/>
  <c r="J30" i="3"/>
  <c r="H30" i="3"/>
  <c r="D30" i="3"/>
  <c r="K29" i="3"/>
  <c r="J29" i="3"/>
  <c r="H29" i="3"/>
  <c r="D29" i="3"/>
  <c r="K28" i="3"/>
  <c r="J28" i="3"/>
  <c r="H28" i="3"/>
  <c r="D28" i="3"/>
  <c r="K27" i="3"/>
  <c r="J27" i="3"/>
  <c r="H27" i="3"/>
  <c r="D27" i="3"/>
  <c r="K26" i="3"/>
  <c r="J26" i="3"/>
  <c r="H26" i="3"/>
  <c r="D26" i="3"/>
  <c r="K25" i="3"/>
  <c r="J25" i="3"/>
  <c r="H25" i="3"/>
  <c r="D25" i="3"/>
  <c r="K24" i="3"/>
  <c r="J24" i="3"/>
  <c r="H24" i="3"/>
  <c r="D24" i="3"/>
  <c r="K23" i="3"/>
  <c r="J23" i="3"/>
  <c r="H23" i="3"/>
  <c r="D23" i="3"/>
  <c r="K22" i="3"/>
  <c r="J22" i="3"/>
  <c r="H22" i="3"/>
  <c r="D22" i="3"/>
  <c r="K21" i="3"/>
  <c r="J21" i="3"/>
  <c r="H21" i="3"/>
  <c r="D21" i="3"/>
  <c r="K20" i="3"/>
  <c r="J20" i="3"/>
  <c r="H20" i="3"/>
  <c r="D20" i="3"/>
  <c r="K19" i="3"/>
  <c r="J19" i="3"/>
  <c r="H19" i="3"/>
  <c r="D19" i="3"/>
  <c r="K18" i="3"/>
  <c r="J18" i="3"/>
  <c r="H18" i="3"/>
  <c r="D18" i="3"/>
  <c r="K17" i="3"/>
  <c r="J17" i="3"/>
  <c r="H17" i="3"/>
  <c r="D17" i="3"/>
  <c r="K16" i="3"/>
  <c r="J16" i="3"/>
  <c r="H16" i="3"/>
  <c r="D16" i="3"/>
  <c r="K15" i="3"/>
  <c r="J15" i="3"/>
  <c r="H15" i="3"/>
  <c r="D15" i="3"/>
  <c r="K14" i="3"/>
  <c r="J14" i="3"/>
  <c r="H14" i="3"/>
  <c r="D14" i="3"/>
  <c r="K13" i="3"/>
  <c r="J13" i="3"/>
  <c r="H13" i="3"/>
  <c r="D13" i="3"/>
  <c r="K12" i="3"/>
  <c r="J12" i="3"/>
  <c r="H12" i="3"/>
  <c r="D12" i="3"/>
  <c r="K11" i="3"/>
  <c r="J11" i="3"/>
  <c r="H11" i="3"/>
  <c r="D11" i="3"/>
  <c r="K10" i="3"/>
  <c r="J10" i="3"/>
  <c r="H10" i="3"/>
  <c r="D10" i="3"/>
  <c r="K9" i="3"/>
  <c r="J9" i="3"/>
  <c r="H9" i="3"/>
  <c r="D9" i="3"/>
  <c r="K8" i="3"/>
  <c r="J8" i="3"/>
  <c r="H8" i="3"/>
  <c r="D8" i="3"/>
  <c r="K7" i="3"/>
  <c r="J7" i="3"/>
  <c r="H7" i="3"/>
  <c r="D7" i="3"/>
  <c r="K6" i="3"/>
  <c r="J6" i="3"/>
  <c r="H6" i="3"/>
  <c r="D6" i="3"/>
  <c r="K5" i="3"/>
  <c r="J5" i="3"/>
  <c r="H5" i="3"/>
  <c r="D5" i="3"/>
  <c r="K4" i="3"/>
  <c r="J4" i="3"/>
  <c r="H4" i="3"/>
  <c r="D4" i="3"/>
  <c r="K3" i="3"/>
  <c r="J3" i="3"/>
  <c r="H3" i="3"/>
  <c r="D3" i="3"/>
  <c r="K2" i="3"/>
  <c r="J2" i="3"/>
  <c r="H2" i="3"/>
  <c r="D2" i="3"/>
</calcChain>
</file>

<file path=xl/sharedStrings.xml><?xml version="1.0" encoding="utf-8"?>
<sst xmlns="http://schemas.openxmlformats.org/spreadsheetml/2006/main" count="1088" uniqueCount="739">
  <si>
    <t>Tárgy</t>
  </si>
  <si>
    <t>Tárgy nept</t>
  </si>
  <si>
    <t>Diplomatervezés 1 (MSc, Info, 2022-ig felvettek)</t>
  </si>
  <si>
    <t>VIAUMT00</t>
  </si>
  <si>
    <t>Diplomatervezés 1 (MSc, Info, 2023-tól felvettek)</t>
  </si>
  <si>
    <t>VIAUMT10</t>
  </si>
  <si>
    <t>Diplomatervezés 1 (MSc, Vill, 2022-ig felvettek)</t>
  </si>
  <si>
    <t>VIAUMT02</t>
  </si>
  <si>
    <t>Diplomatervezés 1 (MSc, Vill, 2023-tól felvettek)</t>
  </si>
  <si>
    <t>VIAUMT12</t>
  </si>
  <si>
    <t>Diplomatervezés 2 (MSc, Info, 2023-tól felvettek)</t>
  </si>
  <si>
    <t>VIAUMT11</t>
  </si>
  <si>
    <t>Diplomatervezés 2 (MSc, Vill, 2022-ig felvettek)</t>
  </si>
  <si>
    <t>VIAUMT03</t>
  </si>
  <si>
    <t>Diplomatervezés 2 (MSc, Vill, 2023-tól felvettek)</t>
  </si>
  <si>
    <t>VIAUMT13</t>
  </si>
  <si>
    <t>Diplomatervezés A</t>
  </si>
  <si>
    <t>VIAUM026</t>
  </si>
  <si>
    <t>Diplomatervezés B</t>
  </si>
  <si>
    <t>VIAUM027</t>
  </si>
  <si>
    <t>Önálló laboratórium (BSc, Info, 2021-ig felvettek)</t>
  </si>
  <si>
    <t>VIAUAL01</t>
  </si>
  <si>
    <t>Önálló laboratórium (BSc, Info, 2022-től felvettek)</t>
  </si>
  <si>
    <t>VIAUAL04</t>
  </si>
  <si>
    <t>Önálló laboratórium (BSc, Vill, 2021-ig felvettek)</t>
  </si>
  <si>
    <t>VIAUAL03</t>
  </si>
  <si>
    <t>Önálló laboratórium 1 (MSc, Info, 2023-tól felvettek)</t>
  </si>
  <si>
    <t>VIAUML10</t>
  </si>
  <si>
    <t>Önálló laboratórium 1 (MSc, Vill, 2022-ig felvettek)</t>
  </si>
  <si>
    <t>VIAUML02</t>
  </si>
  <si>
    <t>Önálló laboratórium 1 (MSc, Vill, 2023-tól felvettek)</t>
  </si>
  <si>
    <t>VIAUML12</t>
  </si>
  <si>
    <t>Önálló laboratórium 2 (MSc, Info, 2023-tól felvettek)</t>
  </si>
  <si>
    <t>VIAUML11</t>
  </si>
  <si>
    <t>Önálló laboratórium 2 (MSc, Vill, 2023-tól felvettek)</t>
  </si>
  <si>
    <t>VIAUML13</t>
  </si>
  <si>
    <t>Projektfeladat mechatronikusoknak</t>
  </si>
  <si>
    <t>VIAUM039</t>
  </si>
  <si>
    <t>Szakdolgozat készítés</t>
  </si>
  <si>
    <t>VIAUA019</t>
  </si>
  <si>
    <t>Szakdolgozat készítés (BSc Vill 2022-től felvettk)</t>
  </si>
  <si>
    <t>VIAUAT03</t>
  </si>
  <si>
    <t>Szakdolgozat készítés (BSc Vill, 2021-ig felvettek)</t>
  </si>
  <si>
    <t>VIAUAT01</t>
  </si>
  <si>
    <t>Szakdolgozat-készítés (BSc Info, 2021-ig felvettek)</t>
  </si>
  <si>
    <t>VIAUAT00</t>
  </si>
  <si>
    <t>Szakdolgozat-készítés (BSc Info, 2022-től felvettek)</t>
  </si>
  <si>
    <t>VIAUAT02</t>
  </si>
  <si>
    <t>Dolgozat megnevezése</t>
  </si>
  <si>
    <t>Szak megnevezése</t>
  </si>
  <si>
    <t>Mérnökinformatikus</t>
  </si>
  <si>
    <t>Villamosmérnök</t>
  </si>
  <si>
    <t>Mechatronikai mérnök</t>
  </si>
  <si>
    <t>Szakdolgozat</t>
  </si>
  <si>
    <t>Neptun kód</t>
  </si>
  <si>
    <t>Hallgató neve</t>
  </si>
  <si>
    <t>Tárgykód</t>
  </si>
  <si>
    <t>Konzulens neve</t>
  </si>
  <si>
    <t>Lépés</t>
  </si>
  <si>
    <t>Makró</t>
  </si>
  <si>
    <t>Hotkey</t>
  </si>
  <si>
    <t>Leírás</t>
  </si>
  <si>
    <t>CollectStudents</t>
  </si>
  <si>
    <t>Ctrl-Shift-C</t>
  </si>
  <si>
    <t>Ctrl-Shift-G</t>
  </si>
  <si>
    <t>A Terheles… xlsx alapján feltölti a GeneráltHallgatóiLista worksheetet</t>
  </si>
  <si>
    <t>Legenerálja a feladatkiírásokat a sablon alapján</t>
  </si>
  <si>
    <t>Még hasznos lehet a zipTaskDescriptions.ps1, mely konzulensenként zippeli be a kiírásokat.</t>
  </si>
  <si>
    <t>Dolgozat címe magyarul</t>
  </si>
  <si>
    <t>Dolgozat címe angolul</t>
  </si>
  <si>
    <t>Bírálat nyelve</t>
  </si>
  <si>
    <t>Kimeneti fájl sablon</t>
  </si>
  <si>
    <t>Magyar sablon</t>
  </si>
  <si>
    <t>Angol sablon</t>
  </si>
  <si>
    <t>template_task_hu.docx</t>
  </si>
  <si>
    <t>template_task_en.docx</t>
  </si>
  <si>
    <t>template_review_hu.docx</t>
  </si>
  <si>
    <t>template_review_en.docx</t>
  </si>
  <si>
    <t>template_grade_hu.docx</t>
  </si>
  <si>
    <t>template_grade_en.docx</t>
  </si>
  <si>
    <t>Kővári Bence Dr.</t>
  </si>
  <si>
    <t>magyar</t>
  </si>
  <si>
    <t>name_task.docx</t>
  </si>
  <si>
    <t>name_review.docx</t>
  </si>
  <si>
    <t>name_grade.docx</t>
  </si>
  <si>
    <t>Degree level</t>
  </si>
  <si>
    <t>BSc</t>
  </si>
  <si>
    <t>MSc</t>
  </si>
  <si>
    <t>Electrical Engineering</t>
  </si>
  <si>
    <t>Computer Engineering</t>
  </si>
  <si>
    <t>Mechatronic Engineering</t>
  </si>
  <si>
    <t>Program name</t>
  </si>
  <si>
    <t>Diplomatervezés</t>
  </si>
  <si>
    <t>GenerateDocuments</t>
  </si>
  <si>
    <t>Szükséges külső fájlok:</t>
  </si>
  <si>
    <t>sablonok</t>
  </si>
  <si>
    <t>TemplatesAndFiles worksheet alapján</t>
  </si>
  <si>
    <t>Terhelés xls</t>
  </si>
  <si>
    <t>Zv segéd export</t>
  </si>
  <si>
    <t>Terhelés.xlsx</t>
  </si>
  <si>
    <t>reviewTemplates_reports.xlsx</t>
  </si>
  <si>
    <t>name_review_grade.docx</t>
  </si>
  <si>
    <t>template_review_grade_hu.docx</t>
  </si>
  <si>
    <t>template_review_grade_en.docx</t>
  </si>
  <si>
    <t>Albert István</t>
  </si>
  <si>
    <t>Forstner Bertalan Dr.</t>
  </si>
  <si>
    <t>Hideg Attila Dr.</t>
  </si>
  <si>
    <t>https://zarovizsga.aut.bme.hu/admin/report?selectedKey=reviewTemplates</t>
  </si>
  <si>
    <t>https://www.aut.bme.hu/StaffMembers/MyWorkload.aspx</t>
  </si>
  <si>
    <t>Kell? 0/1</t>
  </si>
  <si>
    <t>TemplatesAndFiles.Kell oszlop beállítása: 1 ha kell a kimeneti fájl, 0 ha nem.</t>
  </si>
  <si>
    <t>Szinyéri Bence</t>
  </si>
  <si>
    <t>Ekler Péter Dr.</t>
  </si>
  <si>
    <t>Al-Magsoosi Husam Dr.</t>
  </si>
  <si>
    <t>Mrad Mohamed Azouz</t>
  </si>
  <si>
    <t>Imre Gábor</t>
  </si>
  <si>
    <t>Szekeres Kornél</t>
  </si>
  <si>
    <t>Pomázi Krisztián</t>
  </si>
  <si>
    <t>Tóth Tibor</t>
  </si>
  <si>
    <t>Gincsai Gábor</t>
  </si>
  <si>
    <t>Csorba Kristóf Dr.</t>
  </si>
  <si>
    <t>Somogyi Ferenc Attila Dr.</t>
  </si>
  <si>
    <t>Kiss Domokos Dr.</t>
  </si>
  <si>
    <t>Gótzy Márton</t>
  </si>
  <si>
    <t>Szegletes Luca Dr.</t>
  </si>
  <si>
    <t>Kökényesi Tamás</t>
  </si>
  <si>
    <t>Kovács László</t>
  </si>
  <si>
    <t>Nagy Ákos</t>
  </si>
  <si>
    <t>Bándy Kristóf Gábor Dr.</t>
  </si>
  <si>
    <t>Balogh Attila Dr.</t>
  </si>
  <si>
    <t>Kovács Mátyás Örs</t>
  </si>
  <si>
    <t>CM5AP1</t>
  </si>
  <si>
    <t>Szücs Cintia Lia</t>
  </si>
  <si>
    <t>Somogyi Norbert Zsolt</t>
  </si>
  <si>
    <t>Sik Dávid</t>
  </si>
  <si>
    <t>Kovács Tibor Dr.</t>
  </si>
  <si>
    <t>Kövesdán Gábor</t>
  </si>
  <si>
    <t>Szénási Krisztián</t>
  </si>
  <si>
    <t>XYD66R</t>
  </si>
  <si>
    <t>Mezei Gergely Dr.</t>
  </si>
  <si>
    <t>Benedek Zoltán</t>
  </si>
  <si>
    <t>Szabó Zoltán</t>
  </si>
  <si>
    <t>Bárkányi Csaba</t>
  </si>
  <si>
    <t>BQI7QQ</t>
  </si>
  <si>
    <t>Gazdi László</t>
  </si>
  <si>
    <t>Bacskai Tamás</t>
  </si>
  <si>
    <t>VHUI74</t>
  </si>
  <si>
    <t>Illés Ákos</t>
  </si>
  <si>
    <t>TK4K29</t>
  </si>
  <si>
    <t>Ibrahimli Kanan</t>
  </si>
  <si>
    <t>MQE790</t>
  </si>
  <si>
    <t>Veréb Szabolcs</t>
  </si>
  <si>
    <t>Vas Benedek Zoltán</t>
  </si>
  <si>
    <t>WNMUG4</t>
  </si>
  <si>
    <t>Bányász Gábor</t>
  </si>
  <si>
    <t>Stumpf Péter</t>
  </si>
  <si>
    <t>Morvay Balázs Tibor</t>
  </si>
  <si>
    <t>Oláh István</t>
  </si>
  <si>
    <t>Kardos Gergely</t>
  </si>
  <si>
    <t>Horváth Ágnes</t>
  </si>
  <si>
    <t>SYI1PZ</t>
  </si>
  <si>
    <t>Tikász Lilla Emese</t>
  </si>
  <si>
    <t>HXSSPB</t>
  </si>
  <si>
    <t>Phan Viet Dung</t>
  </si>
  <si>
    <t>KYN3Q9</t>
  </si>
  <si>
    <t>Szécsényi Nándor</t>
  </si>
  <si>
    <t>Orosz Pál György</t>
  </si>
  <si>
    <t>B83O0V</t>
  </si>
  <si>
    <t>Babics Ádám</t>
  </si>
  <si>
    <t>RQR669</t>
  </si>
  <si>
    <t>Varjasi István Dr.</t>
  </si>
  <si>
    <t>Marák Levente</t>
  </si>
  <si>
    <t>K2DE0K</t>
  </si>
  <si>
    <t>Mészáros András</t>
  </si>
  <si>
    <t>BSBK18</t>
  </si>
  <si>
    <t>Mohácsi Ákos</t>
  </si>
  <si>
    <t>VTWDGF</t>
  </si>
  <si>
    <t>Mészáros Barna</t>
  </si>
  <si>
    <t>PRYJJV</t>
  </si>
  <si>
    <t>Szabó-Feltóthy Pál</t>
  </si>
  <si>
    <t>YQ9D8Q</t>
  </si>
  <si>
    <t>Csutora Lilla</t>
  </si>
  <si>
    <t>GIQBWP</t>
  </si>
  <si>
    <t>Széll Adrián Bence</t>
  </si>
  <si>
    <t>BPE3HL</t>
  </si>
  <si>
    <t>Simon Tamás Dorián</t>
  </si>
  <si>
    <t>DXD80O</t>
  </si>
  <si>
    <t>Szászvári Márton Péter</t>
  </si>
  <si>
    <t>OKR8HA</t>
  </si>
  <si>
    <t>Golyha Tamás Zsolt</t>
  </si>
  <si>
    <t>A5CS6I</t>
  </si>
  <si>
    <t>Pásztor Dániel</t>
  </si>
  <si>
    <t>Nagy Dávid</t>
  </si>
  <si>
    <t>FLBTBB</t>
  </si>
  <si>
    <t>Adnan Zahraa Haider</t>
  </si>
  <si>
    <t>EVYZZM</t>
  </si>
  <si>
    <t>Mohammad Saleem Dr.</t>
  </si>
  <si>
    <t>Moré Áron</t>
  </si>
  <si>
    <t>C0FUJI</t>
  </si>
  <si>
    <t>Szebedy Géza István</t>
  </si>
  <si>
    <t>IB2BQD</t>
  </si>
  <si>
    <t>Tóth Kincső Eszter</t>
  </si>
  <si>
    <t>D28B59</t>
  </si>
  <si>
    <t>Szekeres Alex</t>
  </si>
  <si>
    <t>CCNZI2</t>
  </si>
  <si>
    <t>Fehér Anna</t>
  </si>
  <si>
    <t>WE0JN9</t>
  </si>
  <si>
    <t>Taganova Altynjemal</t>
  </si>
  <si>
    <t>JP0A3K</t>
  </si>
  <si>
    <t>Anderlik Sándor</t>
  </si>
  <si>
    <t>ZSO5CM</t>
  </si>
  <si>
    <t>Somogyi Benedek</t>
  </si>
  <si>
    <t>GPJR54</t>
  </si>
  <si>
    <t>Tóth Álmos Zoltán</t>
  </si>
  <si>
    <t>G3PNZL</t>
  </si>
  <si>
    <t>Simon Gábor</t>
  </si>
  <si>
    <t>Dombóvári Bálint</t>
  </si>
  <si>
    <t>E0PKKH</t>
  </si>
  <si>
    <t>Mizser Ádám Zoltán</t>
  </si>
  <si>
    <t>SHKGZW</t>
  </si>
  <si>
    <t>Benkő Orsolya</t>
  </si>
  <si>
    <t>DOGB3R</t>
  </si>
  <si>
    <t>Bor Csenge Nóra</t>
  </si>
  <si>
    <t>LI7BDT</t>
  </si>
  <si>
    <t>Nagy Márk</t>
  </si>
  <si>
    <t>JBCZP8</t>
  </si>
  <si>
    <t>Rékó Márton</t>
  </si>
  <si>
    <t>KAMFNQ</t>
  </si>
  <si>
    <t>Demők Döme Máté</t>
  </si>
  <si>
    <t>BGVPVW</t>
  </si>
  <si>
    <t>Szekeres Márton</t>
  </si>
  <si>
    <t>CMTORT</t>
  </si>
  <si>
    <t>Al-Raoush Basel Eyad Ebraheem</t>
  </si>
  <si>
    <t>SDR1AO</t>
  </si>
  <si>
    <t>Tian Chuanxingzi</t>
  </si>
  <si>
    <t>XB4NSE</t>
  </si>
  <si>
    <t>Akkila Dareen Mohammed</t>
  </si>
  <si>
    <t>IZHXR5</t>
  </si>
  <si>
    <t>Fordító és virtuális gép készítés</t>
  </si>
  <si>
    <t>Creating a compiler and a virtual machine</t>
  </si>
  <si>
    <t>Modern kurzus kezelő és jelenlét felügyelő portál tervezése és megvalósítása</t>
  </si>
  <si>
    <t>Design and Implementation of a Modern Course Management and Attendance Supervision Portal</t>
  </si>
  <si>
    <t>Szoftverfejlesztés Android platformon</t>
  </si>
  <si>
    <t>Implementing an Android application</t>
  </si>
  <si>
    <t>Software Development in React Framework</t>
  </si>
  <si>
    <t>angol</t>
  </si>
  <si>
    <t>Napelemcellák Mesterséges Intelligencia Alapú Sabályozása</t>
  </si>
  <si>
    <t>Artificial Intelligence based Control of Solar Cells</t>
  </si>
  <si>
    <t>Ergonómikus billentyűzet tervezése és megvalósítása</t>
  </si>
  <si>
    <t>Design and implementation of an ergonomic keyboard</t>
  </si>
  <si>
    <t>Állandómágneses Szinkrongépek Modell Prediktív Szabályozása</t>
  </si>
  <si>
    <t>Model Predictive Control of Permanent Magnet Synchronous Machines</t>
  </si>
  <si>
    <t>NTP protokoll megvalósítása beágyazott rendszeren Azure RTOS környezetben</t>
  </si>
  <si>
    <t>Implementing NTP protocol on an embedded system in Azure RTOS environment</t>
  </si>
  <si>
    <t>Étkezési szokásokat kezelő alkalmazás fejlesztése Android platformon</t>
  </si>
  <si>
    <t>Development of an application for managing eating habits on the Android platform</t>
  </si>
  <si>
    <t>Cicanevelde játék fejlesztése Android platformra</t>
  </si>
  <si>
    <t>Developing a cat caring application for Android</t>
  </si>
  <si>
    <t>Embassy management website using react</t>
  </si>
  <si>
    <t>Képfeldolgozó MI modellek alkalmazása önvezető járművek Unreal Engine-alapú szimulációjában</t>
  </si>
  <si>
    <t>Application of Computer Vision AI Models for Autonomous Vehicle Simulation in Unreal Engine</t>
  </si>
  <si>
    <t>Jedi erő képfeldolgozással</t>
  </si>
  <si>
    <t>Jedi power with computer vision</t>
  </si>
  <si>
    <t>Személyre szabható filmes adatbázis készítése ASP.NET és React technológiákkal</t>
  </si>
  <si>
    <t>Personalized movie database using ASP.NET and React technologies</t>
  </si>
  <si>
    <t>Kollaboratív webalkalamazás megvalósítása DJ-k számára</t>
  </si>
  <si>
    <t>Implementation of a Collaborative Web Application for DJs</t>
  </si>
  <si>
    <t>Adminisztratív feladatok automatizálása MI alapokon</t>
  </si>
  <si>
    <t>Automation of administrative tasks using AI</t>
  </si>
  <si>
    <t>E-learning rendszer fejlesztése Node.js platfomon</t>
  </si>
  <si>
    <t>Development of an e-learning system on Node.js platform</t>
  </si>
  <si>
    <t>Utazás tervező és szervező alkalmazás fejlesztése Kotlin Mupltiplatform technológiával</t>
  </si>
  <si>
    <t>Development of a Travel Planning Application with Kotlin Multiplatform Technology</t>
  </si>
  <si>
    <t>Vállalati gépjármű bérlési rendszer tervezése és fullstack fejlesztése microservice architektúrában</t>
  </si>
  <si>
    <t>Full-Stack Development and Design of an Enterpsire Car Rental System with Microservice Architecture</t>
  </si>
  <si>
    <t>Cross-Platform Barber Booking Application using Flutter and Firebase</t>
  </si>
  <si>
    <t>PlateMate - A sustainable food sharing Web Application</t>
  </si>
  <si>
    <t>Hartmann Ábel Miklós</t>
  </si>
  <si>
    <t>Mesterházi Marcell</t>
  </si>
  <si>
    <t>TN0VU7</t>
  </si>
  <si>
    <t>Mammadov Ibrahim</t>
  </si>
  <si>
    <t>F52WZT</t>
  </si>
  <si>
    <t>Alghourani Kawthar</t>
  </si>
  <si>
    <t>Dr. Stumpf Péter Pál</t>
  </si>
  <si>
    <t>Csernyánszky Krisztián</t>
  </si>
  <si>
    <t>F5FA2O</t>
  </si>
  <si>
    <t>Király Krisztina</t>
  </si>
  <si>
    <t>IHLRE7</t>
  </si>
  <si>
    <t>Fodor Ferenc</t>
  </si>
  <si>
    <t>Buczny Dominik</t>
  </si>
  <si>
    <t>C84AVJ</t>
  </si>
  <si>
    <t>Somogyi Ferenc Attila</t>
  </si>
  <si>
    <t>Geier Csaba</t>
  </si>
  <si>
    <t>R74UM5</t>
  </si>
  <si>
    <t>Dr. Szegletes Luca</t>
  </si>
  <si>
    <t>Majoros Gábor Pál</t>
  </si>
  <si>
    <t>IY807G</t>
  </si>
  <si>
    <t>Dr. Mezei Gergely</t>
  </si>
  <si>
    <t>DR. Forstner Bertalan</t>
  </si>
  <si>
    <t>Juhász Ádám Tibor</t>
  </si>
  <si>
    <t>TRU7BU</t>
  </si>
  <si>
    <t>Boncsér Attila Bertalan</t>
  </si>
  <si>
    <t>Z7AMXE</t>
  </si>
  <si>
    <t>Kött Tibor</t>
  </si>
  <si>
    <t>ZCP1AR</t>
  </si>
  <si>
    <t>Vigh Franciska Fanni</t>
  </si>
  <si>
    <t>OAZL8X</t>
  </si>
  <si>
    <t>Székely Dávid</t>
  </si>
  <si>
    <t>EQT9AR</t>
  </si>
  <si>
    <t>Kukó Gergely</t>
  </si>
  <si>
    <t>RW6IZX</t>
  </si>
  <si>
    <t>Gótzy Márton Andor</t>
  </si>
  <si>
    <t>Filipinyi Dániel</t>
  </si>
  <si>
    <t>N5ZZVI</t>
  </si>
  <si>
    <t>Győri Mihály</t>
  </si>
  <si>
    <t>PFGIXS</t>
  </si>
  <si>
    <t>Tuboly Dávid</t>
  </si>
  <si>
    <t>TAJU9A</t>
  </si>
  <si>
    <t>Belcsik Bence</t>
  </si>
  <si>
    <t>DXHJOH</t>
  </si>
  <si>
    <t>Király Artúr</t>
  </si>
  <si>
    <t>WKKN80</t>
  </si>
  <si>
    <t>Papp Alex</t>
  </si>
  <si>
    <t>S95MOE</t>
  </si>
  <si>
    <t>Szeredi Péter</t>
  </si>
  <si>
    <t>XUHGHZ</t>
  </si>
  <si>
    <t>Máté Botond</t>
  </si>
  <si>
    <t>ELOYOV</t>
  </si>
  <si>
    <t>Ferencz Kincső Lilla</t>
  </si>
  <si>
    <t>AHU632</t>
  </si>
  <si>
    <t>Berta Csaba Zsolt</t>
  </si>
  <si>
    <t>ODK4CN</t>
  </si>
  <si>
    <t>Pomázi Krisztián Dániel</t>
  </si>
  <si>
    <t>Bosznai Barnabás</t>
  </si>
  <si>
    <t>RP7Q1A</t>
  </si>
  <si>
    <t>Mózs Barnabás</t>
  </si>
  <si>
    <t>PMIO8Q</t>
  </si>
  <si>
    <t>Futó Csaba Arnold</t>
  </si>
  <si>
    <t>D6ZO05</t>
  </si>
  <si>
    <t>Takács Péter</t>
  </si>
  <si>
    <t>CF0R1V</t>
  </si>
  <si>
    <t>Viszoki Tamás</t>
  </si>
  <si>
    <t>FCRNN2</t>
  </si>
  <si>
    <t>Dr. Iváncsy Szabolcs</t>
  </si>
  <si>
    <t>Várady Bence György</t>
  </si>
  <si>
    <t>H1U86J</t>
  </si>
  <si>
    <t>Stivi Nataniel Erik</t>
  </si>
  <si>
    <t>WPPEL4</t>
  </si>
  <si>
    <t>Oszvald András</t>
  </si>
  <si>
    <t>D6IO64</t>
  </si>
  <si>
    <t>Sztrunga Balázs</t>
  </si>
  <si>
    <t>YCANAY</t>
  </si>
  <si>
    <t>Kiss-Nagy Gergő Mihály</t>
  </si>
  <si>
    <t>GIJTN9</t>
  </si>
  <si>
    <t>Szilczer Ármin</t>
  </si>
  <si>
    <t>THGPZB</t>
  </si>
  <si>
    <t>Deák Orsolya</t>
  </si>
  <si>
    <t>Q2CFAJ</t>
  </si>
  <si>
    <t>Surguladze Goga</t>
  </si>
  <si>
    <t>HIKUWK</t>
  </si>
  <si>
    <t>Lipták-Lukácsik Kolos</t>
  </si>
  <si>
    <t>D68PQ6</t>
  </si>
  <si>
    <t>Bácsi Sándor</t>
  </si>
  <si>
    <t>Fábry Bálint</t>
  </si>
  <si>
    <t>IJ8Y3O</t>
  </si>
  <si>
    <t>Kundra László János</t>
  </si>
  <si>
    <t>Baróthy László Dániel</t>
  </si>
  <si>
    <t>EIUWPU</t>
  </si>
  <si>
    <t>Frikker Erik Vince</t>
  </si>
  <si>
    <t>D3KKX6</t>
  </si>
  <si>
    <t>Sik Tamás Dávid</t>
  </si>
  <si>
    <t>Oláh Levente</t>
  </si>
  <si>
    <t>HYJEO6</t>
  </si>
  <si>
    <t>DR. Sütő Zoltán</t>
  </si>
  <si>
    <t>Kovács Gergely</t>
  </si>
  <si>
    <t>RS1T5O</t>
  </si>
  <si>
    <t>Futásidő mérése beágyazott AUTOSAR környezetben</t>
  </si>
  <si>
    <t>Runtime Measurement in Embedded AUTOSAR Environments</t>
  </si>
  <si>
    <t>StudentsWithoutAutPortalEntry worksheet ellenőrzése: ők a ZV portálon szerepelnek, de a tanszéki portálon nincs témájuk (sok jogosan beragadt hallgató van itt, aki pl. már csak be kellene, hogy adja a diplomatervét évek óta)</t>
  </si>
  <si>
    <t>Castillo-Hoós Marcell Ákos</t>
  </si>
  <si>
    <t>ABP9WU</t>
  </si>
  <si>
    <t>Kovács Judit</t>
  </si>
  <si>
    <t>GDTTLT</t>
  </si>
  <si>
    <t>Nagy Borbála</t>
  </si>
  <si>
    <t>FIM3VE</t>
  </si>
  <si>
    <t>Morvai Attila János</t>
  </si>
  <si>
    <t>YG29PD</t>
  </si>
  <si>
    <t>Kovács Virág Noémi</t>
  </si>
  <si>
    <t>J178IN</t>
  </si>
  <si>
    <t>Gulybán Dániel</t>
  </si>
  <si>
    <t>HUCHEX</t>
  </si>
  <si>
    <t>Körömi Roland</t>
  </si>
  <si>
    <t>G3A4MA</t>
  </si>
  <si>
    <t>Ócsai Dávid</t>
  </si>
  <si>
    <t>BX9H73</t>
  </si>
  <si>
    <t>Balázs Martin Géza</t>
  </si>
  <si>
    <t>GS9UPB</t>
  </si>
  <si>
    <t>Megrelisvili Joel</t>
  </si>
  <si>
    <t>TJONMS</t>
  </si>
  <si>
    <t>Kelemen Áron Bence</t>
  </si>
  <si>
    <t>PDCO3F</t>
  </si>
  <si>
    <t>Gurabi Kristóf János</t>
  </si>
  <si>
    <t>IVCEPY</t>
  </si>
  <si>
    <t>Kardos Máté</t>
  </si>
  <si>
    <t>DP6MFQ</t>
  </si>
  <si>
    <t>Szabó Bendegúz</t>
  </si>
  <si>
    <t>CEPI95</t>
  </si>
  <si>
    <t>Csikós Patrik</t>
  </si>
  <si>
    <t>E4MZUV</t>
  </si>
  <si>
    <t>Kucsera Patrik</t>
  </si>
  <si>
    <t>L4HKTK</t>
  </si>
  <si>
    <t>Wohlfart Richárd</t>
  </si>
  <si>
    <t>E06LFG</t>
  </si>
  <si>
    <t>Bánáti Tamás</t>
  </si>
  <si>
    <t>S4XMEP</t>
  </si>
  <si>
    <t>Forgó Frigyes</t>
  </si>
  <si>
    <t>CCV5YH</t>
  </si>
  <si>
    <t>Ötvös Márton Álmos</t>
  </si>
  <si>
    <t>EZG1LF</t>
  </si>
  <si>
    <t>Rácz Gabriella Fanni</t>
  </si>
  <si>
    <t>ISFP3Q</t>
  </si>
  <si>
    <t>Varga Eszter Anna</t>
  </si>
  <si>
    <t>DIQTLT</t>
  </si>
  <si>
    <t>Virág Gyula</t>
  </si>
  <si>
    <t>M25FGD</t>
  </si>
  <si>
    <t>Tóth Balázs Tamás</t>
  </si>
  <si>
    <t>FRUVFA</t>
  </si>
  <si>
    <t>Abonyi-Tóth Barbara</t>
  </si>
  <si>
    <t>Szentgyörgyi Ábel</t>
  </si>
  <si>
    <t>FN5NF0</t>
  </si>
  <si>
    <t>Tömösi Botond</t>
  </si>
  <si>
    <t>Q6Q7X2</t>
  </si>
  <si>
    <t>Rajacsics Tamás</t>
  </si>
  <si>
    <t>Erdei Dániel Patrik</t>
  </si>
  <si>
    <t>BAVX18</t>
  </si>
  <si>
    <t>Sipos Levente</t>
  </si>
  <si>
    <t>NLLIEC</t>
  </si>
  <si>
    <t>Czibulka Balázs Péter</t>
  </si>
  <si>
    <t>MNO6W5</t>
  </si>
  <si>
    <t>Vámos Ádám</t>
  </si>
  <si>
    <t>JIUDSZ</t>
  </si>
  <si>
    <t>Sasvári Szabolcs Attila</t>
  </si>
  <si>
    <t>TWOZG6</t>
  </si>
  <si>
    <t>Nagy Katalin</t>
  </si>
  <si>
    <t>QPRZAG</t>
  </si>
  <si>
    <t>Gyuricza Zalán László</t>
  </si>
  <si>
    <t>P804SK</t>
  </si>
  <si>
    <t>Gao Tong</t>
  </si>
  <si>
    <t>I2SVOS</t>
  </si>
  <si>
    <t>Nagy Bence</t>
  </si>
  <si>
    <t>SISEYQ</t>
  </si>
  <si>
    <t>Tóth Marcell Dániel</t>
  </si>
  <si>
    <t>G58E6R</t>
  </si>
  <si>
    <t>Kókai Roland</t>
  </si>
  <si>
    <t>DTKJYT</t>
  </si>
  <si>
    <t>Szabó Máté András</t>
  </si>
  <si>
    <t>O7J4JT</t>
  </si>
  <si>
    <t>Hegedüs Péter</t>
  </si>
  <si>
    <t>V8DLF6</t>
  </si>
  <si>
    <t>Kende Zoltán</t>
  </si>
  <si>
    <t>HBA16N</t>
  </si>
  <si>
    <t>Raisz Olivér Iván</t>
  </si>
  <si>
    <t>MWAI9Y</t>
  </si>
  <si>
    <t>Németh Gergő Olivér</t>
  </si>
  <si>
    <t>PIBK75</t>
  </si>
  <si>
    <t>Diaz Solis Alexander Ernesto</t>
  </si>
  <si>
    <t>FQG8ZD</t>
  </si>
  <si>
    <t>Lenner András Tibor</t>
  </si>
  <si>
    <t>L6KOH4</t>
  </si>
  <si>
    <t>Kotroczó Ádám</t>
  </si>
  <si>
    <t>FUN6YZ</t>
  </si>
  <si>
    <t>Balla Péter Keve</t>
  </si>
  <si>
    <t>BE1L51</t>
  </si>
  <si>
    <t>Tabajdi Máté</t>
  </si>
  <si>
    <t>JZX5Y4</t>
  </si>
  <si>
    <t>Sándor Dániel</t>
  </si>
  <si>
    <t>I8E8B0</t>
  </si>
  <si>
    <t>Csutár Márk Tibor</t>
  </si>
  <si>
    <t>LMVWRE</t>
  </si>
  <si>
    <t>Mészáros Krisztina</t>
  </si>
  <si>
    <t>NQC2BA</t>
  </si>
  <si>
    <t>Kocsis Vencel</t>
  </si>
  <si>
    <t>IGMACF</t>
  </si>
  <si>
    <t>Steffler Máté</t>
  </si>
  <si>
    <t>U945X9</t>
  </si>
  <si>
    <t>Landi András</t>
  </si>
  <si>
    <t>IJK23N</t>
  </si>
  <si>
    <t>Sági Péter Pál</t>
  </si>
  <si>
    <t>KQF28D</t>
  </si>
  <si>
    <t>Kopacz Bence Gyula</t>
  </si>
  <si>
    <t>FZHO93</t>
  </si>
  <si>
    <t>Ozvaldik Krisztina</t>
  </si>
  <si>
    <t>CQZ9MA</t>
  </si>
  <si>
    <t>Barna Ferenc</t>
  </si>
  <si>
    <t>Y98NYK</t>
  </si>
  <si>
    <t>Szlivka-Strbik Anna Viktória</t>
  </si>
  <si>
    <t>TRTGN8</t>
  </si>
  <si>
    <t>Kerekes László Levente</t>
  </si>
  <si>
    <t>AMW164</t>
  </si>
  <si>
    <t>Karakas Dávid</t>
  </si>
  <si>
    <t>PT8YWJ</t>
  </si>
  <si>
    <t>Molnár Bence György</t>
  </si>
  <si>
    <t>JINVFB</t>
  </si>
  <si>
    <t>Göbölös Márk Máté</t>
  </si>
  <si>
    <t>F8E1D5</t>
  </si>
  <si>
    <t>Blága Bence</t>
  </si>
  <si>
    <t>FC6U8I</t>
  </si>
  <si>
    <t>Szabó László</t>
  </si>
  <si>
    <t>ET9AUJ</t>
  </si>
  <si>
    <t>Nusszer Patrik Marcell</t>
  </si>
  <si>
    <t>IQE1TQ</t>
  </si>
  <si>
    <t>Hugyik Kornél</t>
  </si>
  <si>
    <t>A2QDYX</t>
  </si>
  <si>
    <t>Veres Kristóf</t>
  </si>
  <si>
    <t>N7CARQ</t>
  </si>
  <si>
    <t>Ahmadov Yusif</t>
  </si>
  <si>
    <t>A92Q1Z</t>
  </si>
  <si>
    <t>Boldizsár András János</t>
  </si>
  <si>
    <t>KQSVOO</t>
  </si>
  <si>
    <t>Bognár Ádám</t>
  </si>
  <si>
    <t>N7BCSW</t>
  </si>
  <si>
    <t>Pál Marcell</t>
  </si>
  <si>
    <t>C5T5L7</t>
  </si>
  <si>
    <t>Hajdu Zsolt</t>
  </si>
  <si>
    <t>UUWEOR</t>
  </si>
  <si>
    <t>Khalilli Ramil</t>
  </si>
  <si>
    <t>EV4EER</t>
  </si>
  <si>
    <t>Almoghrabi Makram Issam</t>
  </si>
  <si>
    <t>X3025D</t>
  </si>
  <si>
    <t>Bettaieb Mohamed Aziz</t>
  </si>
  <si>
    <t>XGBLQQ</t>
  </si>
  <si>
    <t>Murzalin Tamerlan</t>
  </si>
  <si>
    <t>U2R2H3</t>
  </si>
  <si>
    <t>Dunaev Dmitriy Dr.</t>
  </si>
  <si>
    <t>Filmportál készítése ASP.NET és Blazor technológiákkal</t>
  </si>
  <si>
    <t>Development of a Movie portal using ASP.NET and Blazor technologies</t>
  </si>
  <si>
    <t>Szállásfoglaló portál fejlesztése mikroszolgáltatás architektúrával</t>
  </si>
  <si>
    <t>Developing an accommodation booking portal with microservices architecture</t>
  </si>
  <si>
    <t>Közösségi program ütemező weboldal készítése ASP.NET és Angular technológiákkal</t>
  </si>
  <si>
    <t>Creating a community program scheduling website with ASP.NET and Angular technologies</t>
  </si>
  <si>
    <t>3D nyomtató tervezése és megvalósítása</t>
  </si>
  <si>
    <t>Development of a 3D printer</t>
  </si>
  <si>
    <t>A monolitikus architektúrák kihívásai és a mikrofrontend megoldás</t>
  </si>
  <si>
    <t>The challenges of monolithic architectures and the microfrontend solution</t>
  </si>
  <si>
    <t>Kanban alapú projektmenedzsment platform fejlesztése mesterséges intelligencia alapú eszközök támogatásával</t>
  </si>
  <si>
    <t>Development of a Kanban-based project management platform using artificial intelligence tools</t>
  </si>
  <si>
    <t>Szerepjáték támogató weboldal fejlesztése</t>
  </si>
  <si>
    <t>Role-playing game support website development</t>
  </si>
  <si>
    <t>Többfelhasználós alaprajz tervező alkalmazás készítése</t>
  </si>
  <si>
    <t>Building a multiuser floor planning application</t>
  </si>
  <si>
    <t>Gépi tanulás alapú on-line aláírás-hitelesítési modellek vizsgálata</t>
  </si>
  <si>
    <t>Comparison of machine learning-based on-line signature verification models</t>
  </si>
  <si>
    <t>Aláírás-hitelesítési módszerek fejlesztése gépi tanulás alkalmazásával</t>
  </si>
  <si>
    <t>Development of signature verification methods using machine learning</t>
  </si>
  <si>
    <t>Adatbázis lekérdezések gyorsítása megerősítéses tanulással</t>
  </si>
  <si>
    <t>Speeding up database queries using reinforcement learning</t>
  </si>
  <si>
    <t>Közösségi alapú helyi szolgáltatás-közvetítő rendszer tervezése és megvalósítása heterogén klienskörnyezetben</t>
  </si>
  <si>
    <t>Design and implementation of a community-based local service brokerage system in a heterogeneous client environment</t>
  </si>
  <si>
    <t>Mélytanulás alapú vizuális helymeghatározó rendszer fejlesztése és webes integrációja</t>
  </si>
  <si>
    <t>Development and web integration of a deep learning-based visual positioning system</t>
  </si>
  <si>
    <t>Android alapú tanulást segítő rendszer fejlesztése Firebase támogatással</t>
  </si>
  <si>
    <t>Development of a Learning Support Application for the Android Platform Using Firebase Services</t>
  </si>
  <si>
    <t>Eseménykezelő naptár alkalmazás fejlesztése Android platformon</t>
  </si>
  <si>
    <t>Development of an event management calendar application on the Android platform</t>
  </si>
  <si>
    <t>Mesterséges intelligencia által támogatott tárhely alkalmazás fejlesztése</t>
  </si>
  <si>
    <t>Developing an Artificial Intelligence Supported Storage Application</t>
  </si>
  <si>
    <t>Automatizált adatkörnyezet-tisztítás és függőségkezelés QAD rendszerben</t>
  </si>
  <si>
    <t>Automated data environment cleaning and dependency management in the QAD system</t>
  </si>
  <si>
    <t>Automatizált rádiótelemetriás nyomkövető rendszer szoftverarchitektúrájának és adatfeldolgozó algoritmusainak továbbfejlesztése</t>
  </si>
  <si>
    <t>Revamping the Software Architecture and Data Processing Algorithms of an Automated Radio Telemetry System</t>
  </si>
  <si>
    <t>Automatizált tesztfuttatás integrálása CI rendszerbe</t>
  </si>
  <si>
    <t>Integrating automated tests into a CI system</t>
  </si>
  <si>
    <t>Autonóm mobil manipulátor fejlesztése</t>
  </si>
  <si>
    <t>Development of an Autonomous Mobile Manipulator</t>
  </si>
  <si>
    <t>Beágyazott szoftver-fejlesztést és CI/CD folyamatokat támogató fejlesztői konténerek tervezése és konfigurálása</t>
  </si>
  <si>
    <t>Design and Configuration of Development Containers Supporting Embedded Software Development and CI/CD Pipelines</t>
  </si>
  <si>
    <t>Üzleti Intelligencia rendszer fejlesztése</t>
  </si>
  <si>
    <t>Business Intelligence system development</t>
  </si>
  <si>
    <t>Biztonságkritikus autóipari szoftverarchitektúra párhuzamos fejlesztési ágainak kezelése és intranetes megjelenítése</t>
  </si>
  <si>
    <t>Modelling and Intranet Frontend for Supporting Parallel Development Paths in Safety-Critical Automotive Software Architecture</t>
  </si>
  <si>
    <t>Karakter menedzselő alkalmazás fejlesztése Dungeons &amp; Dragons szerepjátékhoz</t>
  </si>
  <si>
    <t>Developing a Character Management Application for Dungeons &amp; Dragons</t>
  </si>
  <si>
    <t>Deepfake hanganyagok detektálása mélytanulással</t>
  </si>
  <si>
    <t>Detecting deepfake audio using deep learning</t>
  </si>
  <si>
    <t>Mikrokontroller alapú ipari okoskonnektor fejlesztése</t>
  </si>
  <si>
    <t>Development of a Microcontroller-Based Industrial Smart Socket</t>
  </si>
  <si>
    <t>Élethű procedurális animáció</t>
  </si>
  <si>
    <t>Lifelike Procedural Animation</t>
  </si>
  <si>
    <t>Dinamikus réteg a nagyfelbontású térképekben: koncepciók, megvalósítás és alkalmazások</t>
  </si>
  <si>
    <t>Dynamic Layer in High-Definition Maps: Concepts, Implementation, and Applications</t>
  </si>
  <si>
    <t>Agyi funkcionális MRI felvételek konnektom és generatív AI alapú szintézisének vizsgálata</t>
  </si>
  <si>
    <t>Investigation of connectome and generative AI-based synthesis of functional MRI images</t>
  </si>
  <si>
    <t>Intelligens labdarúgó-mérkőzés elemző rendszer: gépi tanulás alapú objektumkövető és videófeldolgozó modul fejlesztése</t>
  </si>
  <si>
    <t>Intelligent Football Match Analysis System: Development of Machine Learning-Based Object Tracking and Video Processing Module</t>
  </si>
  <si>
    <t>Interaktív webalkalmazás tervezése és implementálása mozgásszervi panaszok otthoni kezelésének támogatására modern Fullstack keretrendszerben</t>
  </si>
  <si>
    <t>Design and implementation of an interactive web application to support the home treatment of musculoskeletal complaints in a modern Fullstack framework</t>
  </si>
  <si>
    <t>Fuzzing fejlesztés autóiparban használt Bluetooth protokoll számára</t>
  </si>
  <si>
    <t>Fuzzing development for Bluetooth protocols used in the automotive industry</t>
  </si>
  <si>
    <t>Geometriai mélytanulás</t>
  </si>
  <si>
    <t>Geometric deep learning</t>
  </si>
  <si>
    <t>Gyártósori EOL tesztkészülék fejlesztése beágyazott mérőrendszerhez</t>
  </si>
  <si>
    <t>EOL test device development for embedded measurement system</t>
  </si>
  <si>
    <t>Idle game fejlesztése Android platformra</t>
  </si>
  <si>
    <t>Development of an Idle Game for Android PLatform</t>
  </si>
  <si>
    <t>Impulzus szélesség modulációs eljárások vizsgálata</t>
  </si>
  <si>
    <t>Testing pulse width modulation techniques</t>
  </si>
  <si>
    <t>Online sakkplatform tervezése és megvalósítása iOS klienssel és Spring Boot backenddel</t>
  </si>
  <si>
    <t>Design and Implementation of an Online Chess Platform with an iOS Client and Spring Boot Backend</t>
  </si>
  <si>
    <t>Videójáték számítógépes ellenfelének adaptív viselkedésmodellezése</t>
  </si>
  <si>
    <t>Adaptive behavior modeling of a video game computer opponent</t>
  </si>
  <si>
    <t>Képfeldolgozáson alapuló lokalizáció és környezetérzékelés légi járműveken</t>
  </si>
  <si>
    <t>Image-based localization and environmental perception on aerial vehicles</t>
  </si>
  <si>
    <t>Kollaboratív lejátszási lista kezelő Spring és Angular alapon</t>
  </si>
  <si>
    <t>Developing a collaborative playlist manager application on Spring and Angular platforms</t>
  </si>
  <si>
    <t>Optimális bevásárlóútvonalat számító alkalmazás backendjének fejlesztése</t>
  </si>
  <si>
    <t>Backend development of optimal shopping route calculator application</t>
  </si>
  <si>
    <t>Optimális bevásárlóútvonalat számító alkalmazás frontendjének fejlesztése</t>
  </si>
  <si>
    <t>Frontend development of optimal shopping route calculator application</t>
  </si>
  <si>
    <t>Logisztikai szolgáltatások támogatása mobil alkalmazással</t>
  </si>
  <si>
    <t>Supporting logistics services with a mobile application</t>
  </si>
  <si>
    <t>Mikroszolgáltatás alapú alkalmazás üzemeltetése Kubernetes platformon</t>
  </si>
  <si>
    <t>Operating a microservice-based application on the Kubernetes platform</t>
  </si>
  <si>
    <t>Mobilcella-kereső alkalmazás fejlesztése Android platformra</t>
  </si>
  <si>
    <t>Development of a Mobile Signal Scanner Application for Android Platform</t>
  </si>
  <si>
    <t>Multiplatform alkalmazás tervezése Nextcloud környezetben és szerveroldali technológiák integrálása</t>
  </si>
  <si>
    <t>Multiplatform Application development in Nextcloud environment and integration of Server-Side technologies</t>
  </si>
  <si>
    <t>Okos költéskövető rendszer számla szkenneléssel és prediktív költségvetéssel</t>
  </si>
  <si>
    <t>Smart Expense Tracker with On-Device Receipt Scanning and Predictive Budgeting</t>
  </si>
  <si>
    <t>Okos otthoni öntözőrendszer fejlesztése</t>
  </si>
  <si>
    <t>Development of a smart home watering system</t>
  </si>
  <si>
    <t>Optikai leválasztó modul tervezése CAN kommunikációhoz</t>
  </si>
  <si>
    <t>Design of an optical isolator module for CAN communication</t>
  </si>
  <si>
    <t>Orvosi adatok feldolgozása gépi tanulással</t>
  </si>
  <si>
    <t>Processing of Medical Data with Machine Learning</t>
  </si>
  <si>
    <t>Ökoszisztéma szimulációja Unity3D alapokon</t>
  </si>
  <si>
    <t>Ecosystem simulation based on the Unity3D engine</t>
  </si>
  <si>
    <t>Ping pong verseny szervező alkalmazás fejlesztése Android platformra</t>
  </si>
  <si>
    <t>Development of a Table Tennis Tournament Organizer Application for Android Platform</t>
  </si>
  <si>
    <t>Magyar vadászati közösségi és hirdetési portál fejlesztése</t>
  </si>
  <si>
    <t>Development of the Hungarian Hunting Community and Advertising Portal</t>
  </si>
  <si>
    <t>Programozható USB billentyűzet tervezése és megvalósítása</t>
  </si>
  <si>
    <t>Design and Implementation of a Programmable USB Keyboard</t>
  </si>
  <si>
    <t>Raktárkészlet nyilvántartó rendszer fejlesztése Kotlin Multiplatform technológiával</t>
  </si>
  <si>
    <t>Development of an Inventory Management System Using Kotlin Multiplatform Technology</t>
  </si>
  <si>
    <t>RaspberryPi, MQTT és Django alapú szerver felügyelő rendszer fejlesztése</t>
  </si>
  <si>
    <t>Development of a Server Monitoring System Based on Raspberry Pi, MQTT, and Django</t>
  </si>
  <si>
    <t>React alapú alkalmazásfejlesztés</t>
  </si>
  <si>
    <t>Sportfogadást segítő alkalmazás fejlesztése Android platformon</t>
  </si>
  <si>
    <t>Development of a sports betting support application on the Android platform</t>
  </si>
  <si>
    <t>Mesterséges intelligenciával támogatott adatfeldolgozó és vizualizációs rendszer kognitív profil értékelésre</t>
  </si>
  <si>
    <t>AI-Assisted Data Processing and Visualization System for Cognitive Profile Assessment</t>
  </si>
  <si>
    <t>Sűrített levegős rendszer állapotának előrejelzése mesterséges intelligencia segítségével</t>
  </si>
  <si>
    <t>Artificial Intelligence–Based Prediction of Compressed Air System Condition</t>
  </si>
  <si>
    <t>Szerepjátékot támogató webalkalmazás fejlesztése Spring Boot platformon</t>
  </si>
  <si>
    <t>Developing a role-playing game web application on Spring Boot platform</t>
  </si>
  <si>
    <t>Városi vízvezeték hálózatok szimulációja és hibadetektálás szintetikus idősor alapú adatok alapján</t>
  </si>
  <si>
    <t>Simulation and fault detection of urban water supply utility networks based on synthetic time series data</t>
  </si>
  <si>
    <t>Társasházi menedzsment szoftver mobilkliensének fejlesztése</t>
  </si>
  <si>
    <t>Developing mobile client for real estate management software</t>
  </si>
  <si>
    <t>Többszemélyes kvízjáték fejlesztése Web és Android platformon</t>
  </si>
  <si>
    <t>Development of a multiplayer quiz game for Web and Android platforms</t>
  </si>
  <si>
    <t>Unity2D játék fejlesztése backend integrációval</t>
  </si>
  <si>
    <t>Unity2D game development with backend integration.</t>
  </si>
  <si>
    <t>Űrminősített motorvezérlő tápegységének tervezése</t>
  </si>
  <si>
    <t>Space qualified motor drive development</t>
  </si>
  <si>
    <t>Vezeték nélküli rezgésdiagnosztikai modul fejlesztése villamos hajtásokhoz</t>
  </si>
  <si>
    <t>WasteWise: Okos hulladékgazdálkodási platform</t>
  </si>
  <si>
    <t>WasteWise: Smart Waste Management Platform</t>
  </si>
  <si>
    <t>We Are Doomed társasjáték digitális implementációja Android platformon</t>
  </si>
  <si>
    <t>Digital implementation of the We Are Doomed game on Android platform</t>
  </si>
  <si>
    <t>Online piactér készítése egyéni vállalkozók számára</t>
  </si>
  <si>
    <t>Creating an online marketplace for freelancers</t>
  </si>
  <si>
    <t>Közösségi sportfogadás webalkalmazás</t>
  </si>
  <si>
    <t>Community sports betting web application</t>
  </si>
  <si>
    <t>Zenei hangulatnapló és ajánlórendszer fejlesztése Kotlin Multiplatform technológiával</t>
  </si>
  <si>
    <t>Development of a Music Mood Diary and Recommendation System with Kotlin Multiplatform Technology</t>
  </si>
  <si>
    <t>Adatközpontú e-kereskedelmi elemzés: ETL, üzleti betekintések és prediktív modellezés</t>
  </si>
  <si>
    <t>Data-Driven E-commerce Analytics: ETL, Business insights, and Predictive Modeling</t>
  </si>
  <si>
    <t>Konferenciakezelő rendszer fejlesztése</t>
  </si>
  <si>
    <t>Development of a Conference Management System</t>
  </si>
  <si>
    <t>A mesterséges intelligencia kihasználása üzleti innovációhoz: a márka láthatósága az MI-alapú beszélgetésekben</t>
  </si>
  <si>
    <t>Leveraging AI for Business Innovation: Brand Visibility in AI Conversation</t>
  </si>
  <si>
    <t>Mesterséges intelligencia által vezérelt receptajánló</t>
  </si>
  <si>
    <t>AI-Powered Recipe Recommender</t>
  </si>
  <si>
    <t>Vizuális navigációs és biztonsági támogatórendszer logisztikai alkalmazásokhoz</t>
  </si>
  <si>
    <t>Visual Navigation and Safety Assistance System for Logistics</t>
  </si>
  <si>
    <t>Sziklai Dávid László</t>
  </si>
  <si>
    <t>XH1H8E</t>
  </si>
  <si>
    <t>Veér Márk Ágoston</t>
  </si>
  <si>
    <t>ESME4O</t>
  </si>
  <si>
    <t>Fogl Botond István</t>
  </si>
  <si>
    <t>T5A9MI</t>
  </si>
  <si>
    <t>Neumann Máté Soma</t>
  </si>
  <si>
    <t>VRRPKR</t>
  </si>
  <si>
    <t>Mihályi Márk</t>
  </si>
  <si>
    <t>IIMP2I</t>
  </si>
  <si>
    <t>Zsilinszki Zsombor</t>
  </si>
  <si>
    <t>BMTTEL</t>
  </si>
  <si>
    <t>Seres Dániel</t>
  </si>
  <si>
    <t>LFNOVU</t>
  </si>
  <si>
    <t>Szabó Judit</t>
  </si>
  <si>
    <t>Q8JSWB</t>
  </si>
  <si>
    <t>Gálcsik Péter</t>
  </si>
  <si>
    <t>UCDB68</t>
  </si>
  <si>
    <t>DR. Kovács Tibor</t>
  </si>
  <si>
    <t>Munkhbayar Erdemdavaa</t>
  </si>
  <si>
    <t>FSRDFW</t>
  </si>
  <si>
    <t>Borsi Dániel</t>
  </si>
  <si>
    <t>OHHO4P</t>
  </si>
  <si>
    <t>Kormos Ábel</t>
  </si>
  <si>
    <t>RNIEKW</t>
  </si>
  <si>
    <t>Majer László István</t>
  </si>
  <si>
    <t>W92SHB</t>
  </si>
  <si>
    <t>Ferencz Tamás</t>
  </si>
  <si>
    <t>I289I8</t>
  </si>
  <si>
    <t>Szvétek-Müller András Zsolt</t>
  </si>
  <si>
    <t>JNDSHB</t>
  </si>
  <si>
    <t>DR. Kővári Bence András</t>
  </si>
  <si>
    <t>Körömi Richárd Krisztián</t>
  </si>
  <si>
    <t>BXZAEN</t>
  </si>
  <si>
    <t>Rózner Attila Máté</t>
  </si>
  <si>
    <t>JG26DH</t>
  </si>
  <si>
    <t>Strinyi Sándor</t>
  </si>
  <si>
    <t>OZWF9I</t>
  </si>
  <si>
    <t>Pham Hai Anh</t>
  </si>
  <si>
    <t>GLJIJB</t>
  </si>
  <si>
    <t>Szűcs Tamás Dominik</t>
  </si>
  <si>
    <t>JL7ID0</t>
  </si>
  <si>
    <t>Hegyi Norbert</t>
  </si>
  <si>
    <t>C4Y40S</t>
  </si>
  <si>
    <t>Dr. Varjasi István</t>
  </si>
  <si>
    <t>Dr. Ekler Péter</t>
  </si>
  <si>
    <t>DR. Hideg Attila</t>
  </si>
  <si>
    <t>DR. Csorba Kristóf</t>
  </si>
  <si>
    <t>DR. Blázovics László</t>
  </si>
  <si>
    <t>Dr. Nagy Ákos</t>
  </si>
  <si>
    <t>Ghimessy Balázs Artúr</t>
  </si>
  <si>
    <t>XMJ6KV</t>
  </si>
  <si>
    <t>CleanUpList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</si>
</sst>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charset val="238"/>
      <scheme val="minor"/>
    </font>
    <font>
      <b/>
      <sz val="12"/>
      <color rgb="FFFFFFFF"/>
      <name val="Calibri"/>
      <family val="2"/>
      <charset val="238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4001F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" fillId="2" borderId="1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1" xfId="1"/>
    <xf numFmtId="0" fontId="2" fillId="0" borderId="0" xfId="0" applyFont="1"/>
    <xf numFmtId="0" fontId="3" fillId="0" borderId="0" xfId="2"/>
  </cellXfs>
  <cellStyles count="3">
    <cellStyle name="headerStyle" xfId="1" xr:uid="{6845530C-5F7A-44AE-99E9-76EF3194F9CC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zarovizsga.aut.bme.hu/admin/report?selectedKey=reviewTemplate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11BB-16CA-4A6F-B783-8651BBC3F72D}">
  <sheetPr codeName="Munka1">
    <tabColor rgb="FFFF0000"/>
  </sheetPr>
  <dimension ref="A1:D12"/>
  <sheetViews>
    <sheetView tabSelected="1" workbookViewId="0">
      <selection activeCell="C10" sqref="C10"/>
    </sheetView>
  </sheetViews>
  <sheetFormatPr defaultRowHeight="13.5"/>
  <cols>
    <col min="1" max="1" width="6" bestFit="1" customWidth="1"/>
    <col min="2" max="2" width="10.4375" bestFit="1" customWidth="1"/>
    <col min="3" max="3" width="24.5625" bestFit="1" customWidth="1"/>
  </cols>
  <sheetData>
    <row r="1" spans="1:4" s="2" customFormat="1" ht="13.9">
      <c r="A1" s="2" t="s">
        <v>58</v>
      </c>
      <c r="B1" s="2" t="s">
        <v>60</v>
      </c>
      <c r="C1" s="2" t="s">
        <v>59</v>
      </c>
      <c r="D1" s="2" t="s">
        <v>61</v>
      </c>
    </row>
    <row r="2" spans="1:4">
      <c r="A2">
        <v>1</v>
      </c>
      <c r="B2" t="s">
        <v>63</v>
      </c>
      <c r="C2" t="s">
        <v>62</v>
      </c>
      <c r="D2" t="s">
        <v>65</v>
      </c>
    </row>
    <row r="3" spans="1:4">
      <c r="A3">
        <v>2</v>
      </c>
      <c r="D3" t="s">
        <v>378</v>
      </c>
    </row>
    <row r="4" spans="1:4">
      <c r="A4">
        <v>3</v>
      </c>
      <c r="D4" t="s">
        <v>110</v>
      </c>
    </row>
    <row r="5" spans="1:4">
      <c r="C5" t="s">
        <v>738</v>
      </c>
    </row>
    <row r="6" spans="1:4">
      <c r="A6">
        <v>4</v>
      </c>
      <c r="B6" t="s">
        <v>64</v>
      </c>
      <c r="C6" t="s">
        <v>93</v>
      </c>
      <c r="D6" t="s">
        <v>66</v>
      </c>
    </row>
    <row r="7" spans="1:4">
      <c r="A7">
        <v>5</v>
      </c>
      <c r="D7" t="s">
        <v>67</v>
      </c>
    </row>
    <row r="9" spans="1:4" ht="13.9">
      <c r="A9" s="2" t="s">
        <v>94</v>
      </c>
    </row>
    <row r="10" spans="1:4">
      <c r="A10" t="s">
        <v>95</v>
      </c>
      <c r="D10" t="s">
        <v>96</v>
      </c>
    </row>
    <row r="11" spans="1:4">
      <c r="A11" t="s">
        <v>97</v>
      </c>
      <c r="C11" t="s">
        <v>108</v>
      </c>
      <c r="D11" t="s">
        <v>99</v>
      </c>
    </row>
    <row r="12" spans="1:4">
      <c r="A12" t="s">
        <v>98</v>
      </c>
      <c r="C12" s="3" t="s">
        <v>107</v>
      </c>
      <c r="D12" t="s">
        <v>100</v>
      </c>
    </row>
  </sheetData>
  <hyperlinks>
    <hyperlink ref="C12" r:id="rId1" xr:uid="{46F0B75F-435F-4D93-AF57-D545EFAAD3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78705-867E-4798-BBF6-D52F72EC6C25}">
  <sheetPr codeName="Munka2"/>
  <dimension ref="A1:K99"/>
  <sheetViews>
    <sheetView workbookViewId="0"/>
  </sheetViews>
  <sheetFormatPr defaultRowHeight="13.5"/>
  <cols>
    <col min="1" max="1" width="12.875" bestFit="1" customWidth="1"/>
    <col min="2" max="2" width="11.125" bestFit="1" customWidth="1"/>
    <col min="3" max="3" width="9.6875" bestFit="1" customWidth="1"/>
    <col min="4" max="4" width="22.125" bestFit="1" customWidth="1"/>
    <col min="5" max="7" width="22.125" customWidth="1"/>
    <col min="8" max="8" width="21.125" bestFit="1" customWidth="1"/>
    <col min="9" max="9" width="14.6875" bestFit="1" customWidth="1"/>
    <col min="10" max="10" width="20" bestFit="1" customWidth="1"/>
    <col min="11" max="11" width="19.3125" bestFit="1" customWidth="1"/>
  </cols>
  <sheetData>
    <row r="1" spans="1:11" s="2" customFormat="1" ht="13.9">
      <c r="A1" s="2" t="s">
        <v>55</v>
      </c>
      <c r="B1" s="2" t="s">
        <v>54</v>
      </c>
      <c r="C1" s="2" t="s">
        <v>56</v>
      </c>
      <c r="D1" s="2" t="s">
        <v>48</v>
      </c>
      <c r="E1" s="2" t="s">
        <v>68</v>
      </c>
      <c r="F1" s="2" t="s">
        <v>69</v>
      </c>
      <c r="G1" s="2" t="s">
        <v>70</v>
      </c>
      <c r="H1" s="2" t="s">
        <v>49</v>
      </c>
      <c r="I1" s="2" t="s">
        <v>57</v>
      </c>
      <c r="J1" s="2" t="s">
        <v>85</v>
      </c>
      <c r="K1" s="2" t="s">
        <v>91</v>
      </c>
    </row>
    <row r="2" spans="1:11">
      <c r="A2" t="s">
        <v>379</v>
      </c>
      <c r="B2" t="s">
        <v>380</v>
      </c>
      <c r="C2" t="s">
        <v>11</v>
      </c>
      <c r="D2" t="str">
        <f>IFERROR(VLOOKUP($C2,'Tantárgyi adatok'!B:F,2,FALSE),"nincs")</f>
        <v>Diplomatervezés</v>
      </c>
      <c r="E2" t="s">
        <v>534</v>
      </c>
      <c r="F2" t="s">
        <v>535</v>
      </c>
      <c r="G2" t="s">
        <v>81</v>
      </c>
      <c r="H2" t="str">
        <f>IFERROR(VLOOKUP($C2,'Tantárgyi adatok'!B:F,3,FALSE),"nincs")</f>
        <v>Mérnökinformatikus</v>
      </c>
      <c r="I2" t="s">
        <v>80</v>
      </c>
      <c r="J2" t="str">
        <f>IFERROR(VLOOKUP($C2,'Tantárgyi adatok'!B:F,4,FALSE),"nincs")</f>
        <v>MSc</v>
      </c>
      <c r="K2" t="str">
        <f>IFERROR(VLOOKUP($C2,'Tantárgyi adatok'!B:F,5,FALSE),"nincs")</f>
        <v>Computer Engineering</v>
      </c>
    </row>
    <row r="3" spans="1:11">
      <c r="A3" t="s">
        <v>381</v>
      </c>
      <c r="B3" t="s">
        <v>382</v>
      </c>
      <c r="C3" t="s">
        <v>11</v>
      </c>
      <c r="D3" t="str">
        <f>IFERROR(VLOOKUP($C3,'Tantárgyi adatok'!B:F,2,FALSE),"nincs")</f>
        <v>Diplomatervezés</v>
      </c>
      <c r="E3" t="s">
        <v>536</v>
      </c>
      <c r="F3" t="s">
        <v>537</v>
      </c>
      <c r="G3" t="s">
        <v>81</v>
      </c>
      <c r="H3" t="str">
        <f>IFERROR(VLOOKUP($C3,'Tantárgyi adatok'!B:F,3,FALSE),"nincs")</f>
        <v>Mérnökinformatikus</v>
      </c>
      <c r="I3" t="s">
        <v>80</v>
      </c>
      <c r="J3" t="str">
        <f>IFERROR(VLOOKUP($C3,'Tantárgyi adatok'!B:F,4,FALSE),"nincs")</f>
        <v>MSc</v>
      </c>
      <c r="K3" t="str">
        <f>IFERROR(VLOOKUP($C3,'Tantárgyi adatok'!B:F,5,FALSE),"nincs")</f>
        <v>Computer Engineering</v>
      </c>
    </row>
    <row r="4" spans="1:11">
      <c r="A4" t="s">
        <v>383</v>
      </c>
      <c r="B4" t="s">
        <v>384</v>
      </c>
      <c r="C4" t="s">
        <v>11</v>
      </c>
      <c r="D4" t="str">
        <f>IFERROR(VLOOKUP($C4,'Tantárgyi adatok'!B:F,2,FALSE),"nincs")</f>
        <v>Diplomatervezés</v>
      </c>
      <c r="E4" t="s">
        <v>538</v>
      </c>
      <c r="F4" t="s">
        <v>539</v>
      </c>
      <c r="G4" t="s">
        <v>81</v>
      </c>
      <c r="H4" t="str">
        <f>IFERROR(VLOOKUP($C4,'Tantárgyi adatok'!B:F,3,FALSE),"nincs")</f>
        <v>Mérnökinformatikus</v>
      </c>
      <c r="I4" t="s">
        <v>80</v>
      </c>
      <c r="J4" t="str">
        <f>IFERROR(VLOOKUP($C4,'Tantárgyi adatok'!B:F,4,FALSE),"nincs")</f>
        <v>MSc</v>
      </c>
      <c r="K4" t="str">
        <f>IFERROR(VLOOKUP($C4,'Tantárgyi adatok'!B:F,5,FALSE),"nincs")</f>
        <v>Computer Engineering</v>
      </c>
    </row>
    <row r="5" spans="1:11">
      <c r="A5" t="s">
        <v>385</v>
      </c>
      <c r="B5" t="s">
        <v>386</v>
      </c>
      <c r="C5" t="s">
        <v>19</v>
      </c>
      <c r="D5" t="str">
        <f>IFERROR(VLOOKUP($C5,'Tantárgyi adatok'!B:F,2,FALSE),"nincs")</f>
        <v>Diplomatervezés</v>
      </c>
      <c r="E5" t="s">
        <v>540</v>
      </c>
      <c r="F5" t="s">
        <v>541</v>
      </c>
      <c r="G5" t="s">
        <v>81</v>
      </c>
      <c r="H5" t="str">
        <f>IFERROR(VLOOKUP($C5,'Tantárgyi adatok'!B:F,3,FALSE),"nincs")</f>
        <v>Mechatronikai mérnök</v>
      </c>
      <c r="I5" t="s">
        <v>123</v>
      </c>
      <c r="J5" t="str">
        <f>IFERROR(VLOOKUP($C5,'Tantárgyi adatok'!B:F,4,FALSE),"nincs")</f>
        <v>MSc</v>
      </c>
      <c r="K5" t="str">
        <f>IFERROR(VLOOKUP($C5,'Tantárgyi adatok'!B:F,5,FALSE),"nincs")</f>
        <v>Mechatronic Engineering</v>
      </c>
    </row>
    <row r="6" spans="1:11">
      <c r="A6" t="s">
        <v>387</v>
      </c>
      <c r="B6" t="s">
        <v>388</v>
      </c>
      <c r="C6" t="s">
        <v>11</v>
      </c>
      <c r="D6" t="str">
        <f>IFERROR(VLOOKUP($C6,'Tantárgyi adatok'!B:F,2,FALSE),"nincs")</f>
        <v>Diplomatervezés</v>
      </c>
      <c r="E6" t="s">
        <v>542</v>
      </c>
      <c r="F6" t="s">
        <v>543</v>
      </c>
      <c r="G6" t="s">
        <v>81</v>
      </c>
      <c r="H6" t="str">
        <f>IFERROR(VLOOKUP($C6,'Tantárgyi adatok'!B:F,3,FALSE),"nincs")</f>
        <v>Mérnökinformatikus</v>
      </c>
      <c r="I6" t="s">
        <v>115</v>
      </c>
      <c r="J6" t="str">
        <f>IFERROR(VLOOKUP($C6,'Tantárgyi adatok'!B:F,4,FALSE),"nincs")</f>
        <v>MSc</v>
      </c>
      <c r="K6" t="str">
        <f>IFERROR(VLOOKUP($C6,'Tantárgyi adatok'!B:F,5,FALSE),"nincs")</f>
        <v>Computer Engineering</v>
      </c>
    </row>
    <row r="7" spans="1:11">
      <c r="A7" t="s">
        <v>220</v>
      </c>
      <c r="B7" t="s">
        <v>221</v>
      </c>
      <c r="C7" t="s">
        <v>45</v>
      </c>
      <c r="D7" t="str">
        <f>IFERROR(VLOOKUP($C7,'Tantárgyi adatok'!B:F,2,FALSE),"nincs")</f>
        <v>Szakdolgozat</v>
      </c>
      <c r="E7" t="s">
        <v>267</v>
      </c>
      <c r="F7" t="s">
        <v>268</v>
      </c>
      <c r="G7" t="s">
        <v>81</v>
      </c>
      <c r="H7" t="str">
        <f>IFERROR(VLOOKUP($C7,'Tantárgyi adatok'!B:F,3,FALSE),"nincs")</f>
        <v>Mérnökinformatikus</v>
      </c>
      <c r="I7" t="s">
        <v>120</v>
      </c>
      <c r="J7" t="str">
        <f>IFERROR(VLOOKUP($C7,'Tantárgyi adatok'!B:F,4,FALSE),"nincs")</f>
        <v>BSc</v>
      </c>
      <c r="K7" t="str">
        <f>IFERROR(VLOOKUP($C7,'Tantárgyi adatok'!B:F,5,FALSE),"nincs")</f>
        <v>Computer Engineering</v>
      </c>
    </row>
    <row r="8" spans="1:11">
      <c r="A8" t="s">
        <v>197</v>
      </c>
      <c r="B8" t="s">
        <v>198</v>
      </c>
      <c r="C8" t="s">
        <v>47</v>
      </c>
      <c r="D8" t="str">
        <f>IFERROR(VLOOKUP($C8,'Tantárgyi adatok'!B:F,2,FALSE),"nincs")</f>
        <v>Szakdolgozat</v>
      </c>
      <c r="E8" t="s">
        <v>259</v>
      </c>
      <c r="F8" t="s">
        <v>260</v>
      </c>
      <c r="G8" t="s">
        <v>81</v>
      </c>
      <c r="H8" t="str">
        <f>IFERROR(VLOOKUP($C8,'Tantárgyi adatok'!B:F,3,FALSE),"nincs")</f>
        <v>Mérnökinformatikus</v>
      </c>
      <c r="I8" t="s">
        <v>116</v>
      </c>
      <c r="J8" t="str">
        <f>IFERROR(VLOOKUP($C8,'Tantárgyi adatok'!B:F,4,FALSE),"nincs")</f>
        <v>BSc</v>
      </c>
      <c r="K8" t="str">
        <f>IFERROR(VLOOKUP($C8,'Tantárgyi adatok'!B:F,5,FALSE),"nincs")</f>
        <v>Computer Engineering</v>
      </c>
    </row>
    <row r="9" spans="1:11">
      <c r="A9" t="s">
        <v>199</v>
      </c>
      <c r="B9" t="s">
        <v>200</v>
      </c>
      <c r="C9" t="s">
        <v>47</v>
      </c>
      <c r="D9" t="str">
        <f>IFERROR(VLOOKUP($C9,'Tantárgyi adatok'!B:F,2,FALSE),"nincs")</f>
        <v>Szakdolgozat</v>
      </c>
      <c r="E9" t="s">
        <v>261</v>
      </c>
      <c r="F9" t="s">
        <v>262</v>
      </c>
      <c r="G9" t="s">
        <v>81</v>
      </c>
      <c r="H9" t="str">
        <f>IFERROR(VLOOKUP($C9,'Tantárgyi adatok'!B:F,3,FALSE),"nincs")</f>
        <v>Mérnökinformatikus</v>
      </c>
      <c r="I9" t="s">
        <v>116</v>
      </c>
      <c r="J9" t="str">
        <f>IFERROR(VLOOKUP($C9,'Tantárgyi adatok'!B:F,4,FALSE),"nincs")</f>
        <v>BSc</v>
      </c>
      <c r="K9" t="str">
        <f>IFERROR(VLOOKUP($C9,'Tantárgyi adatok'!B:F,5,FALSE),"nincs")</f>
        <v>Computer Engineering</v>
      </c>
    </row>
    <row r="10" spans="1:11">
      <c r="A10" t="s">
        <v>389</v>
      </c>
      <c r="B10" t="s">
        <v>390</v>
      </c>
      <c r="C10" t="s">
        <v>47</v>
      </c>
      <c r="D10" t="str">
        <f>IFERROR(VLOOKUP($C10,'Tantárgyi adatok'!B:F,2,FALSE),"nincs")</f>
        <v>Szakdolgozat</v>
      </c>
      <c r="E10" t="s">
        <v>544</v>
      </c>
      <c r="F10" t="s">
        <v>545</v>
      </c>
      <c r="G10" t="s">
        <v>81</v>
      </c>
      <c r="H10" t="str">
        <f>IFERROR(VLOOKUP($C10,'Tantárgyi adatok'!B:F,3,FALSE),"nincs")</f>
        <v>Mérnökinformatikus</v>
      </c>
      <c r="I10" t="s">
        <v>80</v>
      </c>
      <c r="J10" t="str">
        <f>IFERROR(VLOOKUP($C10,'Tantárgyi adatok'!B:F,4,FALSE),"nincs")</f>
        <v>BSc</v>
      </c>
      <c r="K10" t="str">
        <f>IFERROR(VLOOKUP($C10,'Tantárgyi adatok'!B:F,5,FALSE),"nincs")</f>
        <v>Computer Engineering</v>
      </c>
    </row>
    <row r="11" spans="1:11">
      <c r="A11" t="s">
        <v>391</v>
      </c>
      <c r="B11" t="s">
        <v>392</v>
      </c>
      <c r="C11" t="s">
        <v>45</v>
      </c>
      <c r="D11" t="str">
        <f>IFERROR(VLOOKUP($C11,'Tantárgyi adatok'!B:F,2,FALSE),"nincs")</f>
        <v>Szakdolgozat</v>
      </c>
      <c r="E11" t="s">
        <v>546</v>
      </c>
      <c r="F11" t="s">
        <v>547</v>
      </c>
      <c r="G11" t="s">
        <v>81</v>
      </c>
      <c r="H11" t="str">
        <f>IFERROR(VLOOKUP($C11,'Tantárgyi adatok'!B:F,3,FALSE),"nincs")</f>
        <v>Mérnökinformatikus</v>
      </c>
      <c r="I11" t="s">
        <v>80</v>
      </c>
      <c r="J11" t="str">
        <f>IFERROR(VLOOKUP($C11,'Tantárgyi adatok'!B:F,4,FALSE),"nincs")</f>
        <v>BSc</v>
      </c>
      <c r="K11" t="str">
        <f>IFERROR(VLOOKUP($C11,'Tantárgyi adatok'!B:F,5,FALSE),"nincs")</f>
        <v>Computer Engineering</v>
      </c>
    </row>
    <row r="12" spans="1:11">
      <c r="A12" t="s">
        <v>393</v>
      </c>
      <c r="B12" t="s">
        <v>394</v>
      </c>
      <c r="C12" t="s">
        <v>11</v>
      </c>
      <c r="D12" t="str">
        <f>IFERROR(VLOOKUP($C12,'Tantárgyi adatok'!B:F,2,FALSE),"nincs")</f>
        <v>Diplomatervezés</v>
      </c>
      <c r="E12" t="s">
        <v>548</v>
      </c>
      <c r="F12" t="s">
        <v>549</v>
      </c>
      <c r="G12" t="s">
        <v>81</v>
      </c>
      <c r="H12" t="str">
        <f>IFERROR(VLOOKUP($C12,'Tantárgyi adatok'!B:F,3,FALSE),"nincs")</f>
        <v>Mérnökinformatikus</v>
      </c>
      <c r="I12" t="s">
        <v>104</v>
      </c>
      <c r="J12" t="str">
        <f>IFERROR(VLOOKUP($C12,'Tantárgyi adatok'!B:F,4,FALSE),"nincs")</f>
        <v>MSc</v>
      </c>
      <c r="K12" t="str">
        <f>IFERROR(VLOOKUP($C12,'Tantárgyi adatok'!B:F,5,FALSE),"nincs")</f>
        <v>Computer Engineering</v>
      </c>
    </row>
    <row r="13" spans="1:11">
      <c r="A13" t="s">
        <v>395</v>
      </c>
      <c r="B13" t="s">
        <v>396</v>
      </c>
      <c r="C13" t="s">
        <v>11</v>
      </c>
      <c r="D13" t="str">
        <f>IFERROR(VLOOKUP($C13,'Tantárgyi adatok'!B:F,2,FALSE),"nincs")</f>
        <v>Diplomatervezés</v>
      </c>
      <c r="E13" t="s">
        <v>550</v>
      </c>
      <c r="F13" t="s">
        <v>551</v>
      </c>
      <c r="G13" t="s">
        <v>81</v>
      </c>
      <c r="H13" t="str">
        <f>IFERROR(VLOOKUP($C13,'Tantárgyi adatok'!B:F,3,FALSE),"nincs")</f>
        <v>Mérnökinformatikus</v>
      </c>
      <c r="I13" t="s">
        <v>132</v>
      </c>
      <c r="J13" t="str">
        <f>IFERROR(VLOOKUP($C13,'Tantárgyi adatok'!B:F,4,FALSE),"nincs")</f>
        <v>MSc</v>
      </c>
      <c r="K13" t="str">
        <f>IFERROR(VLOOKUP($C13,'Tantárgyi adatok'!B:F,5,FALSE),"nincs")</f>
        <v>Computer Engineering</v>
      </c>
    </row>
    <row r="14" spans="1:11">
      <c r="A14" t="s">
        <v>397</v>
      </c>
      <c r="B14" t="s">
        <v>398</v>
      </c>
      <c r="C14" t="s">
        <v>45</v>
      </c>
      <c r="D14" t="str">
        <f>IFERROR(VLOOKUP($C14,'Tantárgyi adatok'!B:F,2,FALSE),"nincs")</f>
        <v>Szakdolgozat</v>
      </c>
      <c r="E14" t="s">
        <v>552</v>
      </c>
      <c r="F14" t="s">
        <v>553</v>
      </c>
      <c r="G14" t="s">
        <v>81</v>
      </c>
      <c r="H14" t="str">
        <f>IFERROR(VLOOKUP($C14,'Tantárgyi adatok'!B:F,3,FALSE),"nincs")</f>
        <v>Mérnökinformatikus</v>
      </c>
      <c r="I14" t="s">
        <v>132</v>
      </c>
      <c r="J14" t="str">
        <f>IFERROR(VLOOKUP($C14,'Tantárgyi adatok'!B:F,4,FALSE),"nincs")</f>
        <v>BSc</v>
      </c>
      <c r="K14" t="str">
        <f>IFERROR(VLOOKUP($C14,'Tantárgyi adatok'!B:F,5,FALSE),"nincs")</f>
        <v>Computer Engineering</v>
      </c>
    </row>
    <row r="15" spans="1:11">
      <c r="A15" t="s">
        <v>399</v>
      </c>
      <c r="B15" t="s">
        <v>400</v>
      </c>
      <c r="C15" t="s">
        <v>47</v>
      </c>
      <c r="D15" t="str">
        <f>IFERROR(VLOOKUP($C15,'Tantárgyi adatok'!B:F,2,FALSE),"nincs")</f>
        <v>Szakdolgozat</v>
      </c>
      <c r="E15" t="s">
        <v>554</v>
      </c>
      <c r="F15" t="s">
        <v>555</v>
      </c>
      <c r="G15" t="s">
        <v>81</v>
      </c>
      <c r="H15" t="str">
        <f>IFERROR(VLOOKUP($C15,'Tantárgyi adatok'!B:F,3,FALSE),"nincs")</f>
        <v>Mérnökinformatikus</v>
      </c>
      <c r="I15" t="s">
        <v>156</v>
      </c>
      <c r="J15" t="str">
        <f>IFERROR(VLOOKUP($C15,'Tantárgyi adatok'!B:F,4,FALSE),"nincs")</f>
        <v>BSc</v>
      </c>
      <c r="K15" t="str">
        <f>IFERROR(VLOOKUP($C15,'Tantárgyi adatok'!B:F,5,FALSE),"nincs")</f>
        <v>Computer Engineering</v>
      </c>
    </row>
    <row r="16" spans="1:11">
      <c r="A16" t="s">
        <v>401</v>
      </c>
      <c r="B16" t="s">
        <v>402</v>
      </c>
      <c r="C16" t="s">
        <v>47</v>
      </c>
      <c r="D16" t="str">
        <f>IFERROR(VLOOKUP($C16,'Tantárgyi adatok'!B:F,2,FALSE),"nincs")</f>
        <v>Szakdolgozat</v>
      </c>
      <c r="E16" t="s">
        <v>556</v>
      </c>
      <c r="F16" t="s">
        <v>557</v>
      </c>
      <c r="G16" t="s">
        <v>81</v>
      </c>
      <c r="H16" t="str">
        <f>IFERROR(VLOOKUP($C16,'Tantárgyi adatok'!B:F,3,FALSE),"nincs")</f>
        <v>Mérnökinformatikus</v>
      </c>
      <c r="I16" t="s">
        <v>112</v>
      </c>
      <c r="J16" t="str">
        <f>IFERROR(VLOOKUP($C16,'Tantárgyi adatok'!B:F,4,FALSE),"nincs")</f>
        <v>BSc</v>
      </c>
      <c r="K16" t="str">
        <f>IFERROR(VLOOKUP($C16,'Tantárgyi adatok'!B:F,5,FALSE),"nincs")</f>
        <v>Computer Engineering</v>
      </c>
    </row>
    <row r="17" spans="1:11">
      <c r="A17" t="s">
        <v>403</v>
      </c>
      <c r="B17" t="s">
        <v>404</v>
      </c>
      <c r="C17" t="s">
        <v>47</v>
      </c>
      <c r="D17" t="str">
        <f>IFERROR(VLOOKUP($C17,'Tantárgyi adatok'!B:F,2,FALSE),"nincs")</f>
        <v>Szakdolgozat</v>
      </c>
      <c r="E17" t="s">
        <v>558</v>
      </c>
      <c r="F17" t="s">
        <v>559</v>
      </c>
      <c r="G17" t="s">
        <v>81</v>
      </c>
      <c r="H17" t="str">
        <f>IFERROR(VLOOKUP($C17,'Tantárgyi adatok'!B:F,3,FALSE),"nincs")</f>
        <v>Mérnökinformatikus</v>
      </c>
      <c r="I17" t="s">
        <v>112</v>
      </c>
      <c r="J17" t="str">
        <f>IFERROR(VLOOKUP($C17,'Tantárgyi adatok'!B:F,4,FALSE),"nincs")</f>
        <v>BSc</v>
      </c>
      <c r="K17" t="str">
        <f>IFERROR(VLOOKUP($C17,'Tantárgyi adatok'!B:F,5,FALSE),"nincs")</f>
        <v>Computer Engineering</v>
      </c>
    </row>
    <row r="18" spans="1:11">
      <c r="A18" t="s">
        <v>405</v>
      </c>
      <c r="B18" t="s">
        <v>406</v>
      </c>
      <c r="C18" t="s">
        <v>45</v>
      </c>
      <c r="D18" t="str">
        <f>IFERROR(VLOOKUP($C18,'Tantárgyi adatok'!B:F,2,FALSE),"nincs")</f>
        <v>Szakdolgozat</v>
      </c>
      <c r="E18" t="s">
        <v>560</v>
      </c>
      <c r="F18" t="s">
        <v>561</v>
      </c>
      <c r="G18" t="s">
        <v>81</v>
      </c>
      <c r="H18" t="str">
        <f>IFERROR(VLOOKUP($C18,'Tantárgyi adatok'!B:F,3,FALSE),"nincs")</f>
        <v>Mérnökinformatikus</v>
      </c>
      <c r="I18" t="s">
        <v>112</v>
      </c>
      <c r="J18" t="str">
        <f>IFERROR(VLOOKUP($C18,'Tantárgyi adatok'!B:F,4,FALSE),"nincs")</f>
        <v>BSc</v>
      </c>
      <c r="K18" t="str">
        <f>IFERROR(VLOOKUP($C18,'Tantárgyi adatok'!B:F,5,FALSE),"nincs")</f>
        <v>Computer Engineering</v>
      </c>
    </row>
    <row r="19" spans="1:11">
      <c r="A19" t="s">
        <v>328</v>
      </c>
      <c r="B19" t="s">
        <v>329</v>
      </c>
      <c r="C19" t="s">
        <v>45</v>
      </c>
      <c r="D19" t="str">
        <f>IFERROR(VLOOKUP($C19,'Tantárgyi adatok'!B:F,2,FALSE),"nincs")</f>
        <v>Szakdolgozat</v>
      </c>
      <c r="E19" t="s">
        <v>562</v>
      </c>
      <c r="F19" t="s">
        <v>563</v>
      </c>
      <c r="G19" t="s">
        <v>81</v>
      </c>
      <c r="H19" t="str">
        <f>IFERROR(VLOOKUP($C19,'Tantárgyi adatok'!B:F,3,FALSE),"nincs")</f>
        <v>Mérnökinformatikus</v>
      </c>
      <c r="I19" t="s">
        <v>133</v>
      </c>
      <c r="J19" t="str">
        <f>IFERROR(VLOOKUP($C19,'Tantárgyi adatok'!B:F,4,FALSE),"nincs")</f>
        <v>BSc</v>
      </c>
      <c r="K19" t="str">
        <f>IFERROR(VLOOKUP($C19,'Tantárgyi adatok'!B:F,5,FALSE),"nincs")</f>
        <v>Computer Engineering</v>
      </c>
    </row>
    <row r="20" spans="1:11">
      <c r="A20" t="s">
        <v>177</v>
      </c>
      <c r="B20" t="s">
        <v>178</v>
      </c>
      <c r="C20" t="s">
        <v>45</v>
      </c>
      <c r="D20" t="str">
        <f>IFERROR(VLOOKUP($C20,'Tantárgyi adatok'!B:F,2,FALSE),"nincs")</f>
        <v>Szakdolgozat</v>
      </c>
      <c r="E20" t="s">
        <v>254</v>
      </c>
      <c r="F20" t="s">
        <v>255</v>
      </c>
      <c r="G20" t="s">
        <v>81</v>
      </c>
      <c r="H20" t="str">
        <f>IFERROR(VLOOKUP($C20,'Tantárgyi adatok'!B:F,3,FALSE),"nincs")</f>
        <v>Mérnökinformatikus</v>
      </c>
      <c r="I20" t="s">
        <v>133</v>
      </c>
      <c r="J20" t="str">
        <f>IFERROR(VLOOKUP($C20,'Tantárgyi adatok'!B:F,4,FALSE),"nincs")</f>
        <v>BSc</v>
      </c>
      <c r="K20" t="str">
        <f>IFERROR(VLOOKUP($C20,'Tantárgyi adatok'!B:F,5,FALSE),"nincs")</f>
        <v>Computer Engineering</v>
      </c>
    </row>
    <row r="21" spans="1:11">
      <c r="A21" t="s">
        <v>407</v>
      </c>
      <c r="B21" t="s">
        <v>408</v>
      </c>
      <c r="C21" t="s">
        <v>11</v>
      </c>
      <c r="D21" t="str">
        <f>IFERROR(VLOOKUP($C21,'Tantárgyi adatok'!B:F,2,FALSE),"nincs")</f>
        <v>Diplomatervezés</v>
      </c>
      <c r="E21" t="s">
        <v>564</v>
      </c>
      <c r="F21" t="s">
        <v>565</v>
      </c>
      <c r="G21" t="s">
        <v>81</v>
      </c>
      <c r="H21" t="str">
        <f>IFERROR(VLOOKUP($C21,'Tantárgyi adatok'!B:F,3,FALSE),"nincs")</f>
        <v>Mérnökinformatikus</v>
      </c>
      <c r="I21" t="s">
        <v>118</v>
      </c>
      <c r="J21" t="str">
        <f>IFERROR(VLOOKUP($C21,'Tantárgyi adatok'!B:F,4,FALSE),"nincs")</f>
        <v>MSc</v>
      </c>
      <c r="K21" t="str">
        <f>IFERROR(VLOOKUP($C21,'Tantárgyi adatok'!B:F,5,FALSE),"nincs")</f>
        <v>Computer Engineering</v>
      </c>
    </row>
    <row r="22" spans="1:11">
      <c r="A22" t="s">
        <v>205</v>
      </c>
      <c r="B22" t="s">
        <v>206</v>
      </c>
      <c r="C22" t="s">
        <v>47</v>
      </c>
      <c r="D22" t="str">
        <f>IFERROR(VLOOKUP($C22,'Tantárgyi adatok'!B:F,2,FALSE),"nincs")</f>
        <v>Szakdolgozat</v>
      </c>
      <c r="E22" t="s">
        <v>263</v>
      </c>
      <c r="F22" t="s">
        <v>264</v>
      </c>
      <c r="G22" t="s">
        <v>81</v>
      </c>
      <c r="H22" t="str">
        <f>IFERROR(VLOOKUP($C22,'Tantárgyi adatok'!B:F,3,FALSE),"nincs")</f>
        <v>Mérnökinformatikus</v>
      </c>
      <c r="I22" t="s">
        <v>119</v>
      </c>
      <c r="J22" t="str">
        <f>IFERROR(VLOOKUP($C22,'Tantárgyi adatok'!B:F,4,FALSE),"nincs")</f>
        <v>BSc</v>
      </c>
      <c r="K22" t="str">
        <f>IFERROR(VLOOKUP($C22,'Tantárgyi adatok'!B:F,5,FALSE),"nincs")</f>
        <v>Computer Engineering</v>
      </c>
    </row>
    <row r="23" spans="1:11">
      <c r="A23" t="s">
        <v>409</v>
      </c>
      <c r="B23" t="s">
        <v>410</v>
      </c>
      <c r="C23" t="s">
        <v>47</v>
      </c>
      <c r="D23" t="str">
        <f>IFERROR(VLOOKUP($C23,'Tantárgyi adatok'!B:F,2,FALSE),"nincs")</f>
        <v>Szakdolgozat</v>
      </c>
      <c r="E23" t="s">
        <v>566</v>
      </c>
      <c r="F23" t="s">
        <v>567</v>
      </c>
      <c r="G23" t="s">
        <v>81</v>
      </c>
      <c r="H23" t="str">
        <f>IFERROR(VLOOKUP($C23,'Tantárgyi adatok'!B:F,3,FALSE),"nincs")</f>
        <v>Mérnökinformatikus</v>
      </c>
      <c r="I23" t="s">
        <v>121</v>
      </c>
      <c r="J23" t="str">
        <f>IFERROR(VLOOKUP($C23,'Tantárgyi adatok'!B:F,4,FALSE),"nincs")</f>
        <v>BSc</v>
      </c>
      <c r="K23" t="str">
        <f>IFERROR(VLOOKUP($C23,'Tantárgyi adatok'!B:F,5,FALSE),"nincs")</f>
        <v>Computer Engineering</v>
      </c>
    </row>
    <row r="24" spans="1:11">
      <c r="A24" t="s">
        <v>411</v>
      </c>
      <c r="B24" t="s">
        <v>412</v>
      </c>
      <c r="C24" t="s">
        <v>11</v>
      </c>
      <c r="D24" t="str">
        <f>IFERROR(VLOOKUP($C24,'Tantárgyi adatok'!B:F,2,FALSE),"nincs")</f>
        <v>Diplomatervezés</v>
      </c>
      <c r="E24" t="s">
        <v>568</v>
      </c>
      <c r="F24" t="s">
        <v>569</v>
      </c>
      <c r="G24" t="s">
        <v>81</v>
      </c>
      <c r="H24" t="str">
        <f>IFERROR(VLOOKUP($C24,'Tantárgyi adatok'!B:F,3,FALSE),"nincs")</f>
        <v>Mérnökinformatikus</v>
      </c>
      <c r="I24" t="s">
        <v>118</v>
      </c>
      <c r="J24" t="str">
        <f>IFERROR(VLOOKUP($C24,'Tantárgyi adatok'!B:F,4,FALSE),"nincs")</f>
        <v>MSc</v>
      </c>
      <c r="K24" t="str">
        <f>IFERROR(VLOOKUP($C24,'Tantárgyi adatok'!B:F,5,FALSE),"nincs")</f>
        <v>Computer Engineering</v>
      </c>
    </row>
    <row r="25" spans="1:11">
      <c r="A25" t="s">
        <v>413</v>
      </c>
      <c r="B25" t="s">
        <v>414</v>
      </c>
      <c r="C25" t="s">
        <v>41</v>
      </c>
      <c r="D25" t="str">
        <f>IFERROR(VLOOKUP($C25,'Tantárgyi adatok'!B:F,2,FALSE),"nincs")</f>
        <v>Szakdolgozat</v>
      </c>
      <c r="E25" t="s">
        <v>570</v>
      </c>
      <c r="F25" t="s">
        <v>571</v>
      </c>
      <c r="G25" t="s">
        <v>81</v>
      </c>
      <c r="H25" t="str">
        <f>IFERROR(VLOOKUP($C25,'Tantárgyi adatok'!B:F,3,FALSE),"nincs")</f>
        <v>Villamosmérnök</v>
      </c>
      <c r="I25" t="s">
        <v>141</v>
      </c>
      <c r="J25" t="str">
        <f>IFERROR(VLOOKUP($C25,'Tantárgyi adatok'!B:F,4,FALSE),"nincs")</f>
        <v>BSc</v>
      </c>
      <c r="K25" t="str">
        <f>IFERROR(VLOOKUP($C25,'Tantárgyi adatok'!B:F,5,FALSE),"nincs")</f>
        <v>Electrical Engineering</v>
      </c>
    </row>
    <row r="26" spans="1:11">
      <c r="A26" t="s">
        <v>415</v>
      </c>
      <c r="B26" t="s">
        <v>416</v>
      </c>
      <c r="C26" t="s">
        <v>15</v>
      </c>
      <c r="D26" t="str">
        <f>IFERROR(VLOOKUP($C26,'Tantárgyi adatok'!B:F,2,FALSE),"nincs")</f>
        <v>Diplomatervezés</v>
      </c>
      <c r="E26" t="s">
        <v>572</v>
      </c>
      <c r="F26" t="s">
        <v>573</v>
      </c>
      <c r="G26" t="s">
        <v>81</v>
      </c>
      <c r="H26" t="str">
        <f>IFERROR(VLOOKUP($C26,'Tantárgyi adatok'!B:F,3,FALSE),"nincs")</f>
        <v>Villamosmérnök</v>
      </c>
      <c r="I26" t="s">
        <v>122</v>
      </c>
      <c r="J26" t="str">
        <f>IFERROR(VLOOKUP($C26,'Tantárgyi adatok'!B:F,4,FALSE),"nincs")</f>
        <v>MSc</v>
      </c>
      <c r="K26" t="str">
        <f>IFERROR(VLOOKUP($C26,'Tantárgyi adatok'!B:F,5,FALSE),"nincs")</f>
        <v>Electrical Engineering</v>
      </c>
    </row>
    <row r="27" spans="1:11">
      <c r="A27" t="s">
        <v>417</v>
      </c>
      <c r="B27" t="s">
        <v>418</v>
      </c>
      <c r="C27" t="s">
        <v>47</v>
      </c>
      <c r="D27" t="str">
        <f>IFERROR(VLOOKUP($C27,'Tantárgyi adatok'!B:F,2,FALSE),"nincs")</f>
        <v>Szakdolgozat</v>
      </c>
      <c r="E27" t="s">
        <v>574</v>
      </c>
      <c r="F27" t="s">
        <v>575</v>
      </c>
      <c r="G27" t="s">
        <v>81</v>
      </c>
      <c r="H27" t="str">
        <f>IFERROR(VLOOKUP($C27,'Tantárgyi adatok'!B:F,3,FALSE),"nincs")</f>
        <v>Mérnökinformatikus</v>
      </c>
      <c r="I27" t="s">
        <v>106</v>
      </c>
      <c r="J27" t="str">
        <f>IFERROR(VLOOKUP($C27,'Tantárgyi adatok'!B:F,4,FALSE),"nincs")</f>
        <v>BSc</v>
      </c>
      <c r="K27" t="str">
        <f>IFERROR(VLOOKUP($C27,'Tantárgyi adatok'!B:F,5,FALSE),"nincs")</f>
        <v>Computer Engineering</v>
      </c>
    </row>
    <row r="28" spans="1:11">
      <c r="A28" t="s">
        <v>419</v>
      </c>
      <c r="B28" t="s">
        <v>420</v>
      </c>
      <c r="C28" t="s">
        <v>45</v>
      </c>
      <c r="D28" t="str">
        <f>IFERROR(VLOOKUP($C28,'Tantárgyi adatok'!B:F,2,FALSE),"nincs")</f>
        <v>Szakdolgozat</v>
      </c>
      <c r="E28" t="s">
        <v>576</v>
      </c>
      <c r="F28" t="s">
        <v>577</v>
      </c>
      <c r="G28" t="s">
        <v>81</v>
      </c>
      <c r="H28" t="str">
        <f>IFERROR(VLOOKUP($C28,'Tantárgyi adatok'!B:F,3,FALSE),"nincs")</f>
        <v>Mérnökinformatikus</v>
      </c>
      <c r="I28" t="s">
        <v>117</v>
      </c>
      <c r="J28" t="str">
        <f>IFERROR(VLOOKUP($C28,'Tantárgyi adatok'!B:F,4,FALSE),"nincs")</f>
        <v>BSc</v>
      </c>
      <c r="K28" t="str">
        <f>IFERROR(VLOOKUP($C28,'Tantárgyi adatok'!B:F,5,FALSE),"nincs")</f>
        <v>Computer Engineering</v>
      </c>
    </row>
    <row r="29" spans="1:11">
      <c r="A29" t="s">
        <v>421</v>
      </c>
      <c r="B29" t="s">
        <v>422</v>
      </c>
      <c r="C29" t="s">
        <v>11</v>
      </c>
      <c r="D29" t="str">
        <f>IFERROR(VLOOKUP($C29,'Tantárgyi adatok'!B:F,2,FALSE),"nincs")</f>
        <v>Diplomatervezés</v>
      </c>
      <c r="E29" t="s">
        <v>578</v>
      </c>
      <c r="F29" t="s">
        <v>579</v>
      </c>
      <c r="G29" t="s">
        <v>81</v>
      </c>
      <c r="H29" t="str">
        <f>IFERROR(VLOOKUP($C29,'Tantárgyi adatok'!B:F,3,FALSE),"nincs")</f>
        <v>Mérnökinformatikus</v>
      </c>
      <c r="I29" t="s">
        <v>135</v>
      </c>
      <c r="J29" t="str">
        <f>IFERROR(VLOOKUP($C29,'Tantárgyi adatok'!B:F,4,FALSE),"nincs")</f>
        <v>MSc</v>
      </c>
      <c r="K29" t="str">
        <f>IFERROR(VLOOKUP($C29,'Tantárgyi adatok'!B:F,5,FALSE),"nincs")</f>
        <v>Computer Engineering</v>
      </c>
    </row>
    <row r="30" spans="1:11">
      <c r="A30" t="s">
        <v>423</v>
      </c>
      <c r="B30" t="s">
        <v>424</v>
      </c>
      <c r="C30" t="s">
        <v>11</v>
      </c>
      <c r="D30" t="str">
        <f>IFERROR(VLOOKUP($C30,'Tantárgyi adatok'!B:F,2,FALSE),"nincs")</f>
        <v>Diplomatervezés</v>
      </c>
      <c r="E30" t="s">
        <v>580</v>
      </c>
      <c r="F30" t="s">
        <v>581</v>
      </c>
      <c r="G30" t="s">
        <v>81</v>
      </c>
      <c r="H30" t="str">
        <f>IFERROR(VLOOKUP($C30,'Tantárgyi adatok'!B:F,3,FALSE),"nincs")</f>
        <v>Mérnökinformatikus</v>
      </c>
      <c r="I30" t="s">
        <v>119</v>
      </c>
      <c r="J30" t="str">
        <f>IFERROR(VLOOKUP($C30,'Tantárgyi adatok'!B:F,4,FALSE),"nincs")</f>
        <v>MSc</v>
      </c>
      <c r="K30" t="str">
        <f>IFERROR(VLOOKUP($C30,'Tantárgyi adatok'!B:F,5,FALSE),"nincs")</f>
        <v>Computer Engineering</v>
      </c>
    </row>
    <row r="31" spans="1:11">
      <c r="A31" t="s">
        <v>181</v>
      </c>
      <c r="B31" t="s">
        <v>182</v>
      </c>
      <c r="C31" t="s">
        <v>45</v>
      </c>
      <c r="D31" t="str">
        <f>IFERROR(VLOOKUP($C31,'Tantárgyi adatok'!B:F,2,FALSE),"nincs")</f>
        <v>Szakdolgozat</v>
      </c>
      <c r="E31" t="s">
        <v>256</v>
      </c>
      <c r="F31" t="s">
        <v>257</v>
      </c>
      <c r="G31" t="s">
        <v>81</v>
      </c>
      <c r="H31" t="str">
        <f>IFERROR(VLOOKUP($C31,'Tantárgyi adatok'!B:F,3,FALSE),"nincs")</f>
        <v>Mérnökinformatikus</v>
      </c>
      <c r="I31" t="s">
        <v>136</v>
      </c>
      <c r="J31" t="str">
        <f>IFERROR(VLOOKUP($C31,'Tantárgyi adatok'!B:F,4,FALSE),"nincs")</f>
        <v>BSc</v>
      </c>
      <c r="K31" t="str">
        <f>IFERROR(VLOOKUP($C31,'Tantárgyi adatok'!B:F,5,FALSE),"nincs")</f>
        <v>Computer Engineering</v>
      </c>
    </row>
    <row r="32" spans="1:11">
      <c r="A32" t="s">
        <v>425</v>
      </c>
      <c r="B32" t="s">
        <v>426</v>
      </c>
      <c r="C32" t="s">
        <v>47</v>
      </c>
      <c r="D32" t="str">
        <f>IFERROR(VLOOKUP($C32,'Tantárgyi adatok'!B:F,2,FALSE),"nincs")</f>
        <v>Szakdolgozat</v>
      </c>
      <c r="E32" t="s">
        <v>582</v>
      </c>
      <c r="F32" t="s">
        <v>583</v>
      </c>
      <c r="G32" t="s">
        <v>81</v>
      </c>
      <c r="H32" t="str">
        <f>IFERROR(VLOOKUP($C32,'Tantárgyi adatok'!B:F,3,FALSE),"nincs")</f>
        <v>Mérnökinformatikus</v>
      </c>
      <c r="I32" t="s">
        <v>111</v>
      </c>
      <c r="J32" t="str">
        <f>IFERROR(VLOOKUP($C32,'Tantárgyi adatok'!B:F,4,FALSE),"nincs")</f>
        <v>BSc</v>
      </c>
      <c r="K32" t="str">
        <f>IFERROR(VLOOKUP($C32,'Tantárgyi adatok'!B:F,5,FALSE),"nincs")</f>
        <v>Computer Engineering</v>
      </c>
    </row>
    <row r="33" spans="1:11">
      <c r="A33" t="s">
        <v>428</v>
      </c>
      <c r="B33" t="s">
        <v>429</v>
      </c>
      <c r="C33" t="s">
        <v>15</v>
      </c>
      <c r="D33" t="str">
        <f>IFERROR(VLOOKUP($C33,'Tantárgyi adatok'!B:F,2,FALSE),"nincs")</f>
        <v>Diplomatervezés</v>
      </c>
      <c r="E33" t="s">
        <v>584</v>
      </c>
      <c r="F33" t="s">
        <v>585</v>
      </c>
      <c r="G33" t="s">
        <v>81</v>
      </c>
      <c r="H33" t="str">
        <f>IFERROR(VLOOKUP($C33,'Tantárgyi adatok'!B:F,3,FALSE),"nincs")</f>
        <v>Villamosmérnök</v>
      </c>
      <c r="I33" t="s">
        <v>106</v>
      </c>
      <c r="J33" t="str">
        <f>IFERROR(VLOOKUP($C33,'Tantárgyi adatok'!B:F,4,FALSE),"nincs")</f>
        <v>MSc</v>
      </c>
      <c r="K33" t="str">
        <f>IFERROR(VLOOKUP($C33,'Tantárgyi adatok'!B:F,5,FALSE),"nincs")</f>
        <v>Electrical Engineering</v>
      </c>
    </row>
    <row r="34" spans="1:11">
      <c r="A34" t="s">
        <v>430</v>
      </c>
      <c r="B34" t="s">
        <v>431</v>
      </c>
      <c r="C34" t="s">
        <v>45</v>
      </c>
      <c r="D34" t="str">
        <f>IFERROR(VLOOKUP($C34,'Tantárgyi adatok'!B:F,2,FALSE),"nincs")</f>
        <v>Szakdolgozat</v>
      </c>
      <c r="E34" t="s">
        <v>586</v>
      </c>
      <c r="F34" t="s">
        <v>587</v>
      </c>
      <c r="G34" t="s">
        <v>81</v>
      </c>
      <c r="H34" t="str">
        <f>IFERROR(VLOOKUP($C34,'Tantárgyi adatok'!B:F,3,FALSE),"nincs")</f>
        <v>Mérnökinformatikus</v>
      </c>
      <c r="I34" t="s">
        <v>432</v>
      </c>
      <c r="J34" t="str">
        <f>IFERROR(VLOOKUP($C34,'Tantárgyi adatok'!B:F,4,FALSE),"nincs")</f>
        <v>BSc</v>
      </c>
      <c r="K34" t="str">
        <f>IFERROR(VLOOKUP($C34,'Tantárgyi adatok'!B:F,5,FALSE),"nincs")</f>
        <v>Computer Engineering</v>
      </c>
    </row>
    <row r="35" spans="1:11">
      <c r="A35" t="s">
        <v>433</v>
      </c>
      <c r="B35" t="s">
        <v>434</v>
      </c>
      <c r="C35" t="s">
        <v>11</v>
      </c>
      <c r="D35" t="str">
        <f>IFERROR(VLOOKUP($C35,'Tantárgyi adatok'!B:F,2,FALSE),"nincs")</f>
        <v>Diplomatervezés</v>
      </c>
      <c r="E35" t="s">
        <v>588</v>
      </c>
      <c r="F35" t="s">
        <v>589</v>
      </c>
      <c r="G35" t="s">
        <v>81</v>
      </c>
      <c r="H35" t="str">
        <f>IFERROR(VLOOKUP($C35,'Tantárgyi adatok'!B:F,3,FALSE),"nincs")</f>
        <v>Mérnökinformatikus</v>
      </c>
      <c r="I35" t="s">
        <v>120</v>
      </c>
      <c r="J35" t="str">
        <f>IFERROR(VLOOKUP($C35,'Tantárgyi adatok'!B:F,4,FALSE),"nincs")</f>
        <v>MSc</v>
      </c>
      <c r="K35" t="str">
        <f>IFERROR(VLOOKUP($C35,'Tantárgyi adatok'!B:F,5,FALSE),"nincs")</f>
        <v>Computer Engineering</v>
      </c>
    </row>
    <row r="36" spans="1:11">
      <c r="A36" t="s">
        <v>435</v>
      </c>
      <c r="B36" t="s">
        <v>436</v>
      </c>
      <c r="C36" t="s">
        <v>11</v>
      </c>
      <c r="D36" t="str">
        <f>IFERROR(VLOOKUP($C36,'Tantárgyi adatok'!B:F,2,FALSE),"nincs")</f>
        <v>Diplomatervezés</v>
      </c>
      <c r="E36" t="s">
        <v>590</v>
      </c>
      <c r="F36" t="s">
        <v>591</v>
      </c>
      <c r="G36" t="s">
        <v>81</v>
      </c>
      <c r="H36" t="str">
        <f>IFERROR(VLOOKUP($C36,'Tantárgyi adatok'!B:F,3,FALSE),"nincs")</f>
        <v>Mérnökinformatikus</v>
      </c>
      <c r="I36" t="s">
        <v>124</v>
      </c>
      <c r="J36" t="str">
        <f>IFERROR(VLOOKUP($C36,'Tantárgyi adatok'!B:F,4,FALSE),"nincs")</f>
        <v>MSc</v>
      </c>
      <c r="K36" t="str">
        <f>IFERROR(VLOOKUP($C36,'Tantárgyi adatok'!B:F,5,FALSE),"nincs")</f>
        <v>Computer Engineering</v>
      </c>
    </row>
    <row r="37" spans="1:11">
      <c r="A37" t="s">
        <v>437</v>
      </c>
      <c r="B37" t="s">
        <v>438</v>
      </c>
      <c r="C37" t="s">
        <v>45</v>
      </c>
      <c r="D37" t="str">
        <f>IFERROR(VLOOKUP($C37,'Tantárgyi adatok'!B:F,2,FALSE),"nincs")</f>
        <v>Szakdolgozat</v>
      </c>
      <c r="E37" t="s">
        <v>592</v>
      </c>
      <c r="F37" t="s">
        <v>593</v>
      </c>
      <c r="G37" t="s">
        <v>81</v>
      </c>
      <c r="H37" t="str">
        <f>IFERROR(VLOOKUP($C37,'Tantárgyi adatok'!B:F,3,FALSE),"nincs")</f>
        <v>Mérnökinformatikus</v>
      </c>
      <c r="I37" t="s">
        <v>112</v>
      </c>
      <c r="J37" t="str">
        <f>IFERROR(VLOOKUP($C37,'Tantárgyi adatok'!B:F,4,FALSE),"nincs")</f>
        <v>BSc</v>
      </c>
      <c r="K37" t="str">
        <f>IFERROR(VLOOKUP($C37,'Tantárgyi adatok'!B:F,5,FALSE),"nincs")</f>
        <v>Computer Engineering</v>
      </c>
    </row>
    <row r="38" spans="1:11">
      <c r="A38" t="s">
        <v>137</v>
      </c>
      <c r="B38" t="s">
        <v>138</v>
      </c>
      <c r="C38" t="s">
        <v>11</v>
      </c>
      <c r="D38" t="str">
        <f>IFERROR(VLOOKUP($C38,'Tantárgyi adatok'!B:F,2,FALSE),"nincs")</f>
        <v>Diplomatervezés</v>
      </c>
      <c r="E38" t="s">
        <v>238</v>
      </c>
      <c r="F38" t="s">
        <v>239</v>
      </c>
      <c r="G38" t="s">
        <v>81</v>
      </c>
      <c r="H38" t="str">
        <f>IFERROR(VLOOKUP($C38,'Tantárgyi adatok'!B:F,3,FALSE),"nincs")</f>
        <v>Mérnökinformatikus</v>
      </c>
      <c r="I38" t="s">
        <v>139</v>
      </c>
      <c r="J38" t="str">
        <f>IFERROR(VLOOKUP($C38,'Tantárgyi adatok'!B:F,4,FALSE),"nincs")</f>
        <v>MSc</v>
      </c>
      <c r="K38" t="str">
        <f>IFERROR(VLOOKUP($C38,'Tantárgyi adatok'!B:F,5,FALSE),"nincs")</f>
        <v>Computer Engineering</v>
      </c>
    </row>
    <row r="39" spans="1:11">
      <c r="A39" t="s">
        <v>439</v>
      </c>
      <c r="B39" t="s">
        <v>440</v>
      </c>
      <c r="C39" t="s">
        <v>47</v>
      </c>
      <c r="D39" t="str">
        <f>IFERROR(VLOOKUP($C39,'Tantárgyi adatok'!B:F,2,FALSE),"nincs")</f>
        <v>Szakdolgozat</v>
      </c>
      <c r="E39" t="s">
        <v>594</v>
      </c>
      <c r="F39" t="s">
        <v>595</v>
      </c>
      <c r="G39" t="s">
        <v>81</v>
      </c>
      <c r="H39" t="str">
        <f>IFERROR(VLOOKUP($C39,'Tantárgyi adatok'!B:F,3,FALSE),"nincs")</f>
        <v>Mérnökinformatikus</v>
      </c>
      <c r="I39" t="s">
        <v>112</v>
      </c>
      <c r="J39" t="str">
        <f>IFERROR(VLOOKUP($C39,'Tantárgyi adatok'!B:F,4,FALSE),"nincs")</f>
        <v>BSc</v>
      </c>
      <c r="K39" t="str">
        <f>IFERROR(VLOOKUP($C39,'Tantárgyi adatok'!B:F,5,FALSE),"nincs")</f>
        <v>Computer Engineering</v>
      </c>
    </row>
    <row r="40" spans="1:11">
      <c r="A40" t="s">
        <v>286</v>
      </c>
      <c r="B40" t="s">
        <v>287</v>
      </c>
      <c r="C40" t="s">
        <v>43</v>
      </c>
      <c r="D40" t="str">
        <f>IFERROR(VLOOKUP($C40,'Tantárgyi adatok'!B:F,2,FALSE),"nincs")</f>
        <v>Szakdolgozat</v>
      </c>
      <c r="E40" t="s">
        <v>376</v>
      </c>
      <c r="F40" t="s">
        <v>377</v>
      </c>
      <c r="G40" t="s">
        <v>81</v>
      </c>
      <c r="H40" t="str">
        <f>IFERROR(VLOOKUP($C40,'Tantárgyi adatok'!B:F,3,FALSE),"nincs")</f>
        <v>Villamosmérnök</v>
      </c>
      <c r="I40" t="s">
        <v>154</v>
      </c>
      <c r="J40" t="str">
        <f>IFERROR(VLOOKUP($C40,'Tantárgyi adatok'!B:F,4,FALSE),"nincs")</f>
        <v>BSc</v>
      </c>
      <c r="K40" t="str">
        <f>IFERROR(VLOOKUP($C40,'Tantárgyi adatok'!B:F,5,FALSE),"nincs")</f>
        <v>Electrical Engineering</v>
      </c>
    </row>
    <row r="41" spans="1:11">
      <c r="A41" t="s">
        <v>441</v>
      </c>
      <c r="B41" t="s">
        <v>442</v>
      </c>
      <c r="C41" t="s">
        <v>45</v>
      </c>
      <c r="D41" t="str">
        <f>IFERROR(VLOOKUP($C41,'Tantárgyi adatok'!B:F,2,FALSE),"nincs")</f>
        <v>Szakdolgozat</v>
      </c>
      <c r="E41" t="s">
        <v>596</v>
      </c>
      <c r="F41" t="s">
        <v>597</v>
      </c>
      <c r="G41" t="s">
        <v>81</v>
      </c>
      <c r="H41" t="str">
        <f>IFERROR(VLOOKUP($C41,'Tantárgyi adatok'!B:F,3,FALSE),"nincs")</f>
        <v>Mérnökinformatikus</v>
      </c>
      <c r="I41" t="s">
        <v>154</v>
      </c>
      <c r="J41" t="str">
        <f>IFERROR(VLOOKUP($C41,'Tantárgyi adatok'!B:F,4,FALSE),"nincs")</f>
        <v>BSc</v>
      </c>
      <c r="K41" t="str">
        <f>IFERROR(VLOOKUP($C41,'Tantárgyi adatok'!B:F,5,FALSE),"nincs")</f>
        <v>Computer Engineering</v>
      </c>
    </row>
    <row r="42" spans="1:11">
      <c r="A42" t="s">
        <v>443</v>
      </c>
      <c r="B42" t="s">
        <v>444</v>
      </c>
      <c r="C42" t="s">
        <v>15</v>
      </c>
      <c r="D42" t="str">
        <f>IFERROR(VLOOKUP($C42,'Tantárgyi adatok'!B:F,2,FALSE),"nincs")</f>
        <v>Diplomatervezés</v>
      </c>
      <c r="E42" t="s">
        <v>598</v>
      </c>
      <c r="F42" t="s">
        <v>599</v>
      </c>
      <c r="G42" t="s">
        <v>81</v>
      </c>
      <c r="H42" t="str">
        <f>IFERROR(VLOOKUP($C42,'Tantárgyi adatok'!B:F,3,FALSE),"nincs")</f>
        <v>Villamosmérnök</v>
      </c>
      <c r="I42" t="s">
        <v>124</v>
      </c>
      <c r="J42" t="str">
        <f>IFERROR(VLOOKUP($C42,'Tantárgyi adatok'!B:F,4,FALSE),"nincs")</f>
        <v>MSc</v>
      </c>
      <c r="K42" t="str">
        <f>IFERROR(VLOOKUP($C42,'Tantárgyi adatok'!B:F,5,FALSE),"nincs")</f>
        <v>Electrical Engineering</v>
      </c>
    </row>
    <row r="43" spans="1:11">
      <c r="A43" t="s">
        <v>445</v>
      </c>
      <c r="B43" t="s">
        <v>446</v>
      </c>
      <c r="C43" t="s">
        <v>15</v>
      </c>
      <c r="D43" t="str">
        <f>IFERROR(VLOOKUP($C43,'Tantárgyi adatok'!B:F,2,FALSE),"nincs")</f>
        <v>Diplomatervezés</v>
      </c>
      <c r="E43" t="s">
        <v>600</v>
      </c>
      <c r="F43" t="s">
        <v>601</v>
      </c>
      <c r="G43" t="s">
        <v>81</v>
      </c>
      <c r="H43" t="str">
        <f>IFERROR(VLOOKUP($C43,'Tantárgyi adatok'!B:F,3,FALSE),"nincs")</f>
        <v>Villamosmérnök</v>
      </c>
      <c r="I43" t="s">
        <v>141</v>
      </c>
      <c r="J43" t="str">
        <f>IFERROR(VLOOKUP($C43,'Tantárgyi adatok'!B:F,4,FALSE),"nincs")</f>
        <v>MSc</v>
      </c>
      <c r="K43" t="str">
        <f>IFERROR(VLOOKUP($C43,'Tantárgyi adatok'!B:F,5,FALSE),"nincs")</f>
        <v>Electrical Engineering</v>
      </c>
    </row>
    <row r="44" spans="1:11">
      <c r="A44" t="s">
        <v>447</v>
      </c>
      <c r="B44" t="s">
        <v>448</v>
      </c>
      <c r="C44" t="s">
        <v>45</v>
      </c>
      <c r="D44" t="str">
        <f>IFERROR(VLOOKUP($C44,'Tantárgyi adatok'!B:F,2,FALSE),"nincs")</f>
        <v>Szakdolgozat</v>
      </c>
      <c r="E44" t="s">
        <v>602</v>
      </c>
      <c r="F44" t="s">
        <v>603</v>
      </c>
      <c r="G44" t="s">
        <v>81</v>
      </c>
      <c r="H44" t="str">
        <f>IFERROR(VLOOKUP($C44,'Tantárgyi adatok'!B:F,3,FALSE),"nincs")</f>
        <v>Mérnökinformatikus</v>
      </c>
      <c r="I44" t="s">
        <v>144</v>
      </c>
      <c r="J44" t="str">
        <f>IFERROR(VLOOKUP($C44,'Tantárgyi adatok'!B:F,4,FALSE),"nincs")</f>
        <v>BSc</v>
      </c>
      <c r="K44" t="str">
        <f>IFERROR(VLOOKUP($C44,'Tantárgyi adatok'!B:F,5,FALSE),"nincs")</f>
        <v>Computer Engineering</v>
      </c>
    </row>
    <row r="45" spans="1:11">
      <c r="A45" t="s">
        <v>449</v>
      </c>
      <c r="B45" t="s">
        <v>450</v>
      </c>
      <c r="C45" t="s">
        <v>15</v>
      </c>
      <c r="D45" t="str">
        <f>IFERROR(VLOOKUP($C45,'Tantárgyi adatok'!B:F,2,FALSE),"nincs")</f>
        <v>Diplomatervezés</v>
      </c>
      <c r="E45" t="s">
        <v>604</v>
      </c>
      <c r="F45" t="s">
        <v>605</v>
      </c>
      <c r="G45" t="s">
        <v>81</v>
      </c>
      <c r="H45" t="str">
        <f>IFERROR(VLOOKUP($C45,'Tantárgyi adatok'!B:F,3,FALSE),"nincs")</f>
        <v>Villamosmérnök</v>
      </c>
      <c r="I45" t="s">
        <v>170</v>
      </c>
      <c r="J45" t="str">
        <f>IFERROR(VLOOKUP($C45,'Tantárgyi adatok'!B:F,4,FALSE),"nincs")</f>
        <v>MSc</v>
      </c>
      <c r="K45" t="str">
        <f>IFERROR(VLOOKUP($C45,'Tantárgyi adatok'!B:F,5,FALSE),"nincs")</f>
        <v>Electrical Engineering</v>
      </c>
    </row>
    <row r="46" spans="1:11">
      <c r="A46" t="s">
        <v>451</v>
      </c>
      <c r="B46" t="s">
        <v>452</v>
      </c>
      <c r="C46" t="s">
        <v>45</v>
      </c>
      <c r="D46" t="str">
        <f>IFERROR(VLOOKUP($C46,'Tantárgyi adatok'!B:F,2,FALSE),"nincs")</f>
        <v>Szakdolgozat</v>
      </c>
      <c r="E46" t="s">
        <v>606</v>
      </c>
      <c r="F46" t="s">
        <v>607</v>
      </c>
      <c r="G46" t="s">
        <v>81</v>
      </c>
      <c r="H46" t="str">
        <f>IFERROR(VLOOKUP($C46,'Tantárgyi adatok'!B:F,3,FALSE),"nincs")</f>
        <v>Mérnökinformatikus</v>
      </c>
      <c r="I46" t="s">
        <v>134</v>
      </c>
      <c r="J46" t="str">
        <f>IFERROR(VLOOKUP($C46,'Tantárgyi adatok'!B:F,4,FALSE),"nincs")</f>
        <v>BSc</v>
      </c>
      <c r="K46" t="str">
        <f>IFERROR(VLOOKUP($C46,'Tantárgyi adatok'!B:F,5,FALSE),"nincs")</f>
        <v>Computer Engineering</v>
      </c>
    </row>
    <row r="47" spans="1:11">
      <c r="A47" t="s">
        <v>453</v>
      </c>
      <c r="B47" t="s">
        <v>454</v>
      </c>
      <c r="C47" t="s">
        <v>11</v>
      </c>
      <c r="D47" t="str">
        <f>IFERROR(VLOOKUP($C47,'Tantárgyi adatok'!B:F,2,FALSE),"nincs")</f>
        <v>Diplomatervezés</v>
      </c>
      <c r="E47" t="s">
        <v>608</v>
      </c>
      <c r="F47" t="s">
        <v>609</v>
      </c>
      <c r="G47" t="s">
        <v>81</v>
      </c>
      <c r="H47" t="str">
        <f>IFERROR(VLOOKUP($C47,'Tantárgyi adatok'!B:F,3,FALSE),"nincs")</f>
        <v>Mérnökinformatikus</v>
      </c>
      <c r="I47" t="s">
        <v>104</v>
      </c>
      <c r="J47" t="str">
        <f>IFERROR(VLOOKUP($C47,'Tantárgyi adatok'!B:F,4,FALSE),"nincs")</f>
        <v>MSc</v>
      </c>
      <c r="K47" t="str">
        <f>IFERROR(VLOOKUP($C47,'Tantárgyi adatok'!B:F,5,FALSE),"nincs")</f>
        <v>Computer Engineering</v>
      </c>
    </row>
    <row r="48" spans="1:11">
      <c r="A48" t="s">
        <v>455</v>
      </c>
      <c r="B48" t="s">
        <v>456</v>
      </c>
      <c r="C48" t="s">
        <v>19</v>
      </c>
      <c r="D48" t="str">
        <f>IFERROR(VLOOKUP($C48,'Tantárgyi adatok'!B:F,2,FALSE),"nincs")</f>
        <v>Diplomatervezés</v>
      </c>
      <c r="E48" t="s">
        <v>610</v>
      </c>
      <c r="F48" t="s">
        <v>611</v>
      </c>
      <c r="G48" t="s">
        <v>81</v>
      </c>
      <c r="H48" t="str">
        <f>IFERROR(VLOOKUP($C48,'Tantárgyi adatok'!B:F,3,FALSE),"nincs")</f>
        <v>Mechatronikai mérnök</v>
      </c>
      <c r="I48" t="s">
        <v>155</v>
      </c>
      <c r="J48" t="str">
        <f>IFERROR(VLOOKUP($C48,'Tantárgyi adatok'!B:F,4,FALSE),"nincs")</f>
        <v>MSc</v>
      </c>
      <c r="K48" t="str">
        <f>IFERROR(VLOOKUP($C48,'Tantárgyi adatok'!B:F,5,FALSE),"nincs")</f>
        <v>Mechatronic Engineering</v>
      </c>
    </row>
    <row r="49" spans="1:11">
      <c r="A49" t="s">
        <v>457</v>
      </c>
      <c r="B49" t="s">
        <v>458</v>
      </c>
      <c r="C49" t="s">
        <v>11</v>
      </c>
      <c r="D49" t="str">
        <f>IFERROR(VLOOKUP($C49,'Tantárgyi adatok'!B:F,2,FALSE),"nincs")</f>
        <v>Diplomatervezés</v>
      </c>
      <c r="E49" t="s">
        <v>612</v>
      </c>
      <c r="F49" t="s">
        <v>613</v>
      </c>
      <c r="G49" t="s">
        <v>81</v>
      </c>
      <c r="H49" t="str">
        <f>IFERROR(VLOOKUP($C49,'Tantárgyi adatok'!B:F,3,FALSE),"nincs")</f>
        <v>Mérnökinformatikus</v>
      </c>
      <c r="I49" t="s">
        <v>115</v>
      </c>
      <c r="J49" t="str">
        <f>IFERROR(VLOOKUP($C49,'Tantárgyi adatok'!B:F,4,FALSE),"nincs")</f>
        <v>MSc</v>
      </c>
      <c r="K49" t="str">
        <f>IFERROR(VLOOKUP($C49,'Tantárgyi adatok'!B:F,5,FALSE),"nincs")</f>
        <v>Computer Engineering</v>
      </c>
    </row>
    <row r="50" spans="1:11">
      <c r="A50" t="s">
        <v>218</v>
      </c>
      <c r="B50" t="s">
        <v>219</v>
      </c>
      <c r="C50" t="s">
        <v>47</v>
      </c>
      <c r="D50" t="str">
        <f>IFERROR(VLOOKUP($C50,'Tantárgyi adatok'!B:F,2,FALSE),"nincs")</f>
        <v>Szakdolgozat</v>
      </c>
      <c r="E50" t="s">
        <v>265</v>
      </c>
      <c r="F50" t="s">
        <v>266</v>
      </c>
      <c r="G50" t="s">
        <v>81</v>
      </c>
      <c r="H50" t="str">
        <f>IFERROR(VLOOKUP($C50,'Tantárgyi adatok'!B:F,3,FALSE),"nincs")</f>
        <v>Mérnökinformatikus</v>
      </c>
      <c r="I50" t="s">
        <v>140</v>
      </c>
      <c r="J50" t="str">
        <f>IFERROR(VLOOKUP($C50,'Tantárgyi adatok'!B:F,4,FALSE),"nincs")</f>
        <v>BSc</v>
      </c>
      <c r="K50" t="str">
        <f>IFERROR(VLOOKUP($C50,'Tantárgyi adatok'!B:F,5,FALSE),"nincs")</f>
        <v>Computer Engineering</v>
      </c>
    </row>
    <row r="51" spans="1:11">
      <c r="A51" t="s">
        <v>459</v>
      </c>
      <c r="B51" t="s">
        <v>460</v>
      </c>
      <c r="C51" t="s">
        <v>11</v>
      </c>
      <c r="D51" t="str">
        <f>IFERROR(VLOOKUP($C51,'Tantárgyi adatok'!B:F,2,FALSE),"nincs")</f>
        <v>Diplomatervezés</v>
      </c>
      <c r="E51" t="s">
        <v>614</v>
      </c>
      <c r="F51" t="s">
        <v>615</v>
      </c>
      <c r="G51" t="s">
        <v>81</v>
      </c>
      <c r="H51" t="str">
        <f>IFERROR(VLOOKUP($C51,'Tantárgyi adatok'!B:F,3,FALSE),"nincs")</f>
        <v>Mérnökinformatikus</v>
      </c>
      <c r="I51" t="s">
        <v>133</v>
      </c>
      <c r="J51" t="str">
        <f>IFERROR(VLOOKUP($C51,'Tantárgyi adatok'!B:F,4,FALSE),"nincs")</f>
        <v>MSc</v>
      </c>
      <c r="K51" t="str">
        <f>IFERROR(VLOOKUP($C51,'Tantárgyi adatok'!B:F,5,FALSE),"nincs")</f>
        <v>Computer Engineering</v>
      </c>
    </row>
    <row r="52" spans="1:11">
      <c r="A52" t="s">
        <v>461</v>
      </c>
      <c r="B52" t="s">
        <v>462</v>
      </c>
      <c r="C52" t="s">
        <v>11</v>
      </c>
      <c r="D52" t="str">
        <f>IFERROR(VLOOKUP($C52,'Tantárgyi adatok'!B:F,2,FALSE),"nincs")</f>
        <v>Diplomatervezés</v>
      </c>
      <c r="E52" t="s">
        <v>616</v>
      </c>
      <c r="F52" t="s">
        <v>617</v>
      </c>
      <c r="G52" t="s">
        <v>81</v>
      </c>
      <c r="H52" t="str">
        <f>IFERROR(VLOOKUP($C52,'Tantárgyi adatok'!B:F,3,FALSE),"nincs")</f>
        <v>Mérnökinformatikus</v>
      </c>
      <c r="I52" t="s">
        <v>133</v>
      </c>
      <c r="J52" t="str">
        <f>IFERROR(VLOOKUP($C52,'Tantárgyi adatok'!B:F,4,FALSE),"nincs")</f>
        <v>MSc</v>
      </c>
      <c r="K52" t="str">
        <f>IFERROR(VLOOKUP($C52,'Tantárgyi adatok'!B:F,5,FALSE),"nincs")</f>
        <v>Computer Engineering</v>
      </c>
    </row>
    <row r="53" spans="1:11">
      <c r="A53" t="s">
        <v>463</v>
      </c>
      <c r="B53" t="s">
        <v>464</v>
      </c>
      <c r="C53" t="s">
        <v>11</v>
      </c>
      <c r="D53" t="str">
        <f>IFERROR(VLOOKUP($C53,'Tantárgyi adatok'!B:F,2,FALSE),"nincs")</f>
        <v>Diplomatervezés</v>
      </c>
      <c r="E53" t="s">
        <v>618</v>
      </c>
      <c r="F53" t="s">
        <v>619</v>
      </c>
      <c r="G53" t="s">
        <v>81</v>
      </c>
      <c r="H53" t="str">
        <f>IFERROR(VLOOKUP($C53,'Tantárgyi adatok'!B:F,3,FALSE),"nincs")</f>
        <v>Mérnökinformatikus</v>
      </c>
      <c r="I53" t="s">
        <v>112</v>
      </c>
      <c r="J53" t="str">
        <f>IFERROR(VLOOKUP($C53,'Tantárgyi adatok'!B:F,4,FALSE),"nincs")</f>
        <v>MSc</v>
      </c>
      <c r="K53" t="str">
        <f>IFERROR(VLOOKUP($C53,'Tantárgyi adatok'!B:F,5,FALSE),"nincs")</f>
        <v>Computer Engineering</v>
      </c>
    </row>
    <row r="54" spans="1:11">
      <c r="A54" t="s">
        <v>161</v>
      </c>
      <c r="B54" t="s">
        <v>162</v>
      </c>
      <c r="C54" t="s">
        <v>39</v>
      </c>
      <c r="D54" t="str">
        <f>IFERROR(VLOOKUP($C54,'Tantárgyi adatok'!B:F,2,FALSE),"nincs")</f>
        <v>Szakdolgozat</v>
      </c>
      <c r="E54" t="s">
        <v>246</v>
      </c>
      <c r="F54" t="s">
        <v>247</v>
      </c>
      <c r="G54" t="s">
        <v>81</v>
      </c>
      <c r="H54" t="str">
        <f>IFERROR(VLOOKUP($C54,'Tantárgyi adatok'!B:F,3,FALSE),"nincs")</f>
        <v>Mechatronikai mérnök</v>
      </c>
      <c r="I54" t="s">
        <v>128</v>
      </c>
      <c r="J54" t="str">
        <f>IFERROR(VLOOKUP($C54,'Tantárgyi adatok'!B:F,4,FALSE),"nincs")</f>
        <v>BSc</v>
      </c>
      <c r="K54" t="str">
        <f>IFERROR(VLOOKUP($C54,'Tantárgyi adatok'!B:F,5,FALSE),"nincs")</f>
        <v>Electrical Engineering</v>
      </c>
    </row>
    <row r="55" spans="1:11">
      <c r="A55" t="s">
        <v>465</v>
      </c>
      <c r="B55" t="s">
        <v>466</v>
      </c>
      <c r="C55" t="s">
        <v>47</v>
      </c>
      <c r="D55" t="str">
        <f>IFERROR(VLOOKUP($C55,'Tantárgyi adatok'!B:F,2,FALSE),"nincs")</f>
        <v>Szakdolgozat</v>
      </c>
      <c r="E55" t="s">
        <v>620</v>
      </c>
      <c r="F55" t="s">
        <v>621</v>
      </c>
      <c r="G55" t="s">
        <v>81</v>
      </c>
      <c r="H55" t="str">
        <f>IFERROR(VLOOKUP($C55,'Tantárgyi adatok'!B:F,3,FALSE),"nincs")</f>
        <v>Mérnökinformatikus</v>
      </c>
      <c r="I55" t="s">
        <v>80</v>
      </c>
      <c r="J55" t="str">
        <f>IFERROR(VLOOKUP($C55,'Tantárgyi adatok'!B:F,4,FALSE),"nincs")</f>
        <v>BSc</v>
      </c>
      <c r="K55" t="str">
        <f>IFERROR(VLOOKUP($C55,'Tantárgyi adatok'!B:F,5,FALSE),"nincs")</f>
        <v>Computer Engineering</v>
      </c>
    </row>
    <row r="56" spans="1:11">
      <c r="A56" t="s">
        <v>467</v>
      </c>
      <c r="B56" t="s">
        <v>468</v>
      </c>
      <c r="C56" t="s">
        <v>47</v>
      </c>
      <c r="D56" t="str">
        <f>IFERROR(VLOOKUP($C56,'Tantárgyi adatok'!B:F,2,FALSE),"nincs")</f>
        <v>Szakdolgozat</v>
      </c>
      <c r="E56" t="s">
        <v>622</v>
      </c>
      <c r="F56" t="s">
        <v>623</v>
      </c>
      <c r="G56" t="s">
        <v>81</v>
      </c>
      <c r="H56" t="str">
        <f>IFERROR(VLOOKUP($C56,'Tantárgyi adatok'!B:F,3,FALSE),"nincs")</f>
        <v>Mérnökinformatikus</v>
      </c>
      <c r="I56" t="s">
        <v>144</v>
      </c>
      <c r="J56" t="str">
        <f>IFERROR(VLOOKUP($C56,'Tantárgyi adatok'!B:F,4,FALSE),"nincs")</f>
        <v>BSc</v>
      </c>
      <c r="K56" t="str">
        <f>IFERROR(VLOOKUP($C56,'Tantárgyi adatok'!B:F,5,FALSE),"nincs")</f>
        <v>Computer Engineering</v>
      </c>
    </row>
    <row r="57" spans="1:11">
      <c r="A57" t="s">
        <v>142</v>
      </c>
      <c r="B57" t="s">
        <v>143</v>
      </c>
      <c r="C57" t="s">
        <v>11</v>
      </c>
      <c r="D57" t="str">
        <f>IFERROR(VLOOKUP($C57,'Tantárgyi adatok'!B:F,2,FALSE),"nincs")</f>
        <v>Diplomatervezés</v>
      </c>
      <c r="E57" t="s">
        <v>240</v>
      </c>
      <c r="F57" t="s">
        <v>241</v>
      </c>
      <c r="G57" t="s">
        <v>81</v>
      </c>
      <c r="H57" t="str">
        <f>IFERROR(VLOOKUP($C57,'Tantárgyi adatok'!B:F,3,FALSE),"nincs")</f>
        <v>Mérnökinformatikus</v>
      </c>
      <c r="I57" t="s">
        <v>112</v>
      </c>
      <c r="J57" t="str">
        <f>IFERROR(VLOOKUP($C57,'Tantárgyi adatok'!B:F,4,FALSE),"nincs")</f>
        <v>MSc</v>
      </c>
      <c r="K57" t="str">
        <f>IFERROR(VLOOKUP($C57,'Tantárgyi adatok'!B:F,5,FALSE),"nincs")</f>
        <v>Computer Engineering</v>
      </c>
    </row>
    <row r="58" spans="1:11">
      <c r="A58" t="s">
        <v>469</v>
      </c>
      <c r="B58" t="s">
        <v>470</v>
      </c>
      <c r="C58" t="s">
        <v>47</v>
      </c>
      <c r="D58" t="str">
        <f>IFERROR(VLOOKUP($C58,'Tantárgyi adatok'!B:F,2,FALSE),"nincs")</f>
        <v>Szakdolgozat</v>
      </c>
      <c r="E58" t="s">
        <v>624</v>
      </c>
      <c r="F58" t="s">
        <v>625</v>
      </c>
      <c r="G58" t="s">
        <v>81</v>
      </c>
      <c r="H58" t="str">
        <f>IFERROR(VLOOKUP($C58,'Tantárgyi adatok'!B:F,3,FALSE),"nincs")</f>
        <v>Mérnökinformatikus</v>
      </c>
      <c r="I58" t="s">
        <v>116</v>
      </c>
      <c r="J58" t="str">
        <f>IFERROR(VLOOKUP($C58,'Tantárgyi adatok'!B:F,4,FALSE),"nincs")</f>
        <v>BSc</v>
      </c>
      <c r="K58" t="str">
        <f>IFERROR(VLOOKUP($C58,'Tantárgyi adatok'!B:F,5,FALSE),"nincs")</f>
        <v>Computer Engineering</v>
      </c>
    </row>
    <row r="59" spans="1:11">
      <c r="A59" t="s">
        <v>168</v>
      </c>
      <c r="B59" t="s">
        <v>169</v>
      </c>
      <c r="C59" t="s">
        <v>41</v>
      </c>
      <c r="D59" t="str">
        <f>IFERROR(VLOOKUP($C59,'Tantárgyi adatok'!B:F,2,FALSE),"nincs")</f>
        <v>Szakdolgozat</v>
      </c>
      <c r="E59" t="s">
        <v>252</v>
      </c>
      <c r="F59" t="s">
        <v>253</v>
      </c>
      <c r="G59" t="s">
        <v>81</v>
      </c>
      <c r="H59" t="str">
        <f>IFERROR(VLOOKUP($C59,'Tantárgyi adatok'!B:F,3,FALSE),"nincs")</f>
        <v>Villamosmérnök</v>
      </c>
      <c r="I59" t="s">
        <v>141</v>
      </c>
      <c r="J59" t="str">
        <f>IFERROR(VLOOKUP($C59,'Tantárgyi adatok'!B:F,4,FALSE),"nincs")</f>
        <v>BSc</v>
      </c>
      <c r="K59" t="str">
        <f>IFERROR(VLOOKUP($C59,'Tantárgyi adatok'!B:F,5,FALSE),"nincs")</f>
        <v>Electrical Engineering</v>
      </c>
    </row>
    <row r="60" spans="1:11">
      <c r="A60" t="s">
        <v>471</v>
      </c>
      <c r="B60" t="s">
        <v>472</v>
      </c>
      <c r="C60" t="s">
        <v>11</v>
      </c>
      <c r="D60" t="str">
        <f>IFERROR(VLOOKUP($C60,'Tantárgyi adatok'!B:F,2,FALSE),"nincs")</f>
        <v>Diplomatervezés</v>
      </c>
      <c r="E60" t="s">
        <v>626</v>
      </c>
      <c r="F60" t="s">
        <v>627</v>
      </c>
      <c r="G60" t="s">
        <v>81</v>
      </c>
      <c r="H60" t="str">
        <f>IFERROR(VLOOKUP($C60,'Tantárgyi adatok'!B:F,3,FALSE),"nincs")</f>
        <v>Mérnökinformatikus</v>
      </c>
      <c r="I60" t="s">
        <v>113</v>
      </c>
      <c r="J60" t="str">
        <f>IFERROR(VLOOKUP($C60,'Tantárgyi adatok'!B:F,4,FALSE),"nincs")</f>
        <v>MSc</v>
      </c>
      <c r="K60" t="str">
        <f>IFERROR(VLOOKUP($C60,'Tantárgyi adatok'!B:F,5,FALSE),"nincs")</f>
        <v>Computer Engineering</v>
      </c>
    </row>
    <row r="61" spans="1:11">
      <c r="A61" t="s">
        <v>473</v>
      </c>
      <c r="B61" t="s">
        <v>474</v>
      </c>
      <c r="C61" t="s">
        <v>15</v>
      </c>
      <c r="D61" t="str">
        <f>IFERROR(VLOOKUP($C61,'Tantárgyi adatok'!B:F,2,FALSE),"nincs")</f>
        <v>Diplomatervezés</v>
      </c>
      <c r="E61" t="s">
        <v>628</v>
      </c>
      <c r="F61" t="s">
        <v>629</v>
      </c>
      <c r="G61" t="s">
        <v>81</v>
      </c>
      <c r="H61" t="str">
        <f>IFERROR(VLOOKUP($C61,'Tantárgyi adatok'!B:F,3,FALSE),"nincs")</f>
        <v>Villamosmérnök</v>
      </c>
      <c r="I61" t="s">
        <v>127</v>
      </c>
      <c r="J61" t="str">
        <f>IFERROR(VLOOKUP($C61,'Tantárgyi adatok'!B:F,4,FALSE),"nincs")</f>
        <v>MSc</v>
      </c>
      <c r="K61" t="str">
        <f>IFERROR(VLOOKUP($C61,'Tantárgyi adatok'!B:F,5,FALSE),"nincs")</f>
        <v>Electrical Engineering</v>
      </c>
    </row>
    <row r="62" spans="1:11">
      <c r="A62" t="s">
        <v>475</v>
      </c>
      <c r="B62" t="s">
        <v>476</v>
      </c>
      <c r="C62" t="s">
        <v>19</v>
      </c>
      <c r="D62" t="str">
        <f>IFERROR(VLOOKUP($C62,'Tantárgyi adatok'!B:F,2,FALSE),"nincs")</f>
        <v>Diplomatervezés</v>
      </c>
      <c r="E62" t="s">
        <v>630</v>
      </c>
      <c r="F62" t="s">
        <v>631</v>
      </c>
      <c r="G62" t="s">
        <v>81</v>
      </c>
      <c r="H62" t="str">
        <f>IFERROR(VLOOKUP($C62,'Tantárgyi adatok'!B:F,3,FALSE),"nincs")</f>
        <v>Mechatronikai mérnök</v>
      </c>
      <c r="I62" t="s">
        <v>155</v>
      </c>
      <c r="J62" t="str">
        <f>IFERROR(VLOOKUP($C62,'Tantárgyi adatok'!B:F,4,FALSE),"nincs")</f>
        <v>MSc</v>
      </c>
      <c r="K62" t="str">
        <f>IFERROR(VLOOKUP($C62,'Tantárgyi adatok'!B:F,5,FALSE),"nincs")</f>
        <v>Mechatronic Engineering</v>
      </c>
    </row>
    <row r="63" spans="1:11">
      <c r="A63" t="s">
        <v>477</v>
      </c>
      <c r="B63" t="s">
        <v>478</v>
      </c>
      <c r="C63" t="s">
        <v>47</v>
      </c>
      <c r="D63" t="str">
        <f>IFERROR(VLOOKUP($C63,'Tantárgyi adatok'!B:F,2,FALSE),"nincs")</f>
        <v>Szakdolgozat</v>
      </c>
      <c r="E63" t="s">
        <v>632</v>
      </c>
      <c r="F63" t="s">
        <v>633</v>
      </c>
      <c r="G63" t="s">
        <v>81</v>
      </c>
      <c r="H63" t="str">
        <f>IFERROR(VLOOKUP($C63,'Tantárgyi adatok'!B:F,3,FALSE),"nincs")</f>
        <v>Mérnökinformatikus</v>
      </c>
      <c r="I63" t="s">
        <v>124</v>
      </c>
      <c r="J63" t="str">
        <f>IFERROR(VLOOKUP($C63,'Tantárgyi adatok'!B:F,4,FALSE),"nincs")</f>
        <v>BSc</v>
      </c>
      <c r="K63" t="str">
        <f>IFERROR(VLOOKUP($C63,'Tantárgyi adatok'!B:F,5,FALSE),"nincs")</f>
        <v>Computer Engineering</v>
      </c>
    </row>
    <row r="64" spans="1:11">
      <c r="A64" t="s">
        <v>479</v>
      </c>
      <c r="B64" t="s">
        <v>480</v>
      </c>
      <c r="C64" t="s">
        <v>11</v>
      </c>
      <c r="D64" t="str">
        <f>IFERROR(VLOOKUP($C64,'Tantárgyi adatok'!B:F,2,FALSE),"nincs")</f>
        <v>Diplomatervezés</v>
      </c>
      <c r="E64" t="s">
        <v>634</v>
      </c>
      <c r="F64" t="s">
        <v>635</v>
      </c>
      <c r="G64" t="s">
        <v>81</v>
      </c>
      <c r="H64" t="str">
        <f>IFERROR(VLOOKUP($C64,'Tantárgyi adatok'!B:F,3,FALSE),"nincs")</f>
        <v>Mérnökinformatikus</v>
      </c>
      <c r="I64" t="s">
        <v>121</v>
      </c>
      <c r="J64" t="str">
        <f>IFERROR(VLOOKUP($C64,'Tantárgyi adatok'!B:F,4,FALSE),"nincs")</f>
        <v>MSc</v>
      </c>
      <c r="K64" t="str">
        <f>IFERROR(VLOOKUP($C64,'Tantárgyi adatok'!B:F,5,FALSE),"nincs")</f>
        <v>Computer Engineering</v>
      </c>
    </row>
    <row r="65" spans="1:11">
      <c r="A65" t="s">
        <v>481</v>
      </c>
      <c r="B65" t="s">
        <v>482</v>
      </c>
      <c r="C65" t="s">
        <v>45</v>
      </c>
      <c r="D65" t="str">
        <f>IFERROR(VLOOKUP($C65,'Tantárgyi adatok'!B:F,2,FALSE),"nincs")</f>
        <v>Szakdolgozat</v>
      </c>
      <c r="E65" t="s">
        <v>636</v>
      </c>
      <c r="F65" t="s">
        <v>637</v>
      </c>
      <c r="G65" t="s">
        <v>81</v>
      </c>
      <c r="H65" t="str">
        <f>IFERROR(VLOOKUP($C65,'Tantárgyi adatok'!B:F,3,FALSE),"nincs")</f>
        <v>Mérnökinformatikus</v>
      </c>
      <c r="I65" t="s">
        <v>144</v>
      </c>
      <c r="J65" t="str">
        <f>IFERROR(VLOOKUP($C65,'Tantárgyi adatok'!B:F,4,FALSE),"nincs")</f>
        <v>BSc</v>
      </c>
      <c r="K65" t="str">
        <f>IFERROR(VLOOKUP($C65,'Tantárgyi adatok'!B:F,5,FALSE),"nincs")</f>
        <v>Computer Engineering</v>
      </c>
    </row>
    <row r="66" spans="1:11">
      <c r="A66" t="s">
        <v>224</v>
      </c>
      <c r="B66" t="s">
        <v>225</v>
      </c>
      <c r="C66" t="s">
        <v>47</v>
      </c>
      <c r="D66" t="str">
        <f>IFERROR(VLOOKUP($C66,'Tantárgyi adatok'!B:F,2,FALSE),"nincs")</f>
        <v>Szakdolgozat</v>
      </c>
      <c r="E66" t="s">
        <v>269</v>
      </c>
      <c r="F66" t="s">
        <v>270</v>
      </c>
      <c r="G66" t="s">
        <v>81</v>
      </c>
      <c r="H66" t="str">
        <f>IFERROR(VLOOKUP($C66,'Tantárgyi adatok'!B:F,3,FALSE),"nincs")</f>
        <v>Mérnökinformatikus</v>
      </c>
      <c r="I66" t="s">
        <v>80</v>
      </c>
      <c r="J66" t="str">
        <f>IFERROR(VLOOKUP($C66,'Tantárgyi adatok'!B:F,4,FALSE),"nincs")</f>
        <v>BSc</v>
      </c>
      <c r="K66" t="str">
        <f>IFERROR(VLOOKUP($C66,'Tantárgyi adatok'!B:F,5,FALSE),"nincs")</f>
        <v>Computer Engineering</v>
      </c>
    </row>
    <row r="67" spans="1:11">
      <c r="A67" t="s">
        <v>483</v>
      </c>
      <c r="B67" t="s">
        <v>484</v>
      </c>
      <c r="C67" t="s">
        <v>11</v>
      </c>
      <c r="D67" t="str">
        <f>IFERROR(VLOOKUP($C67,'Tantárgyi adatok'!B:F,2,FALSE),"nincs")</f>
        <v>Diplomatervezés</v>
      </c>
      <c r="E67" t="s">
        <v>638</v>
      </c>
      <c r="F67" t="s">
        <v>639</v>
      </c>
      <c r="G67" t="s">
        <v>81</v>
      </c>
      <c r="H67" t="str">
        <f>IFERROR(VLOOKUP($C67,'Tantárgyi adatok'!B:F,3,FALSE),"nincs")</f>
        <v>Mérnökinformatikus</v>
      </c>
      <c r="I67" t="s">
        <v>80</v>
      </c>
      <c r="J67" t="str">
        <f>IFERROR(VLOOKUP($C67,'Tantárgyi adatok'!B:F,4,FALSE),"nincs")</f>
        <v>MSc</v>
      </c>
      <c r="K67" t="str">
        <f>IFERROR(VLOOKUP($C67,'Tantárgyi adatok'!B:F,5,FALSE),"nincs")</f>
        <v>Computer Engineering</v>
      </c>
    </row>
    <row r="68" spans="1:11">
      <c r="A68" t="s">
        <v>485</v>
      </c>
      <c r="B68" t="s">
        <v>486</v>
      </c>
      <c r="C68" t="s">
        <v>43</v>
      </c>
      <c r="D68" t="str">
        <f>IFERROR(VLOOKUP($C68,'Tantárgyi adatok'!B:F,2,FALSE),"nincs")</f>
        <v>Szakdolgozat</v>
      </c>
      <c r="E68" t="s">
        <v>640</v>
      </c>
      <c r="F68" t="s">
        <v>641</v>
      </c>
      <c r="G68" t="s">
        <v>81</v>
      </c>
      <c r="H68" t="str">
        <f>IFERROR(VLOOKUP($C68,'Tantárgyi adatok'!B:F,3,FALSE),"nincs")</f>
        <v>Villamosmérnök</v>
      </c>
      <c r="I68" t="s">
        <v>427</v>
      </c>
      <c r="J68" t="str">
        <f>IFERROR(VLOOKUP($C68,'Tantárgyi adatok'!B:F,4,FALSE),"nincs")</f>
        <v>BSc</v>
      </c>
      <c r="K68" t="str">
        <f>IFERROR(VLOOKUP($C68,'Tantárgyi adatok'!B:F,5,FALSE),"nincs")</f>
        <v>Electrical Engineering</v>
      </c>
    </row>
    <row r="69" spans="1:11">
      <c r="A69" t="s">
        <v>487</v>
      </c>
      <c r="B69" t="s">
        <v>488</v>
      </c>
      <c r="C69" t="s">
        <v>47</v>
      </c>
      <c r="D69" t="str">
        <f>IFERROR(VLOOKUP($C69,'Tantárgyi adatok'!B:F,2,FALSE),"nincs")</f>
        <v>Szakdolgozat</v>
      </c>
      <c r="E69" t="s">
        <v>642</v>
      </c>
      <c r="F69" t="s">
        <v>643</v>
      </c>
      <c r="G69" t="s">
        <v>81</v>
      </c>
      <c r="H69" t="str">
        <f>IFERROR(VLOOKUP($C69,'Tantárgyi adatok'!B:F,3,FALSE),"nincs")</f>
        <v>Mérnökinformatikus</v>
      </c>
      <c r="I69" t="s">
        <v>144</v>
      </c>
      <c r="J69" t="str">
        <f>IFERROR(VLOOKUP($C69,'Tantárgyi adatok'!B:F,4,FALSE),"nincs")</f>
        <v>BSc</v>
      </c>
      <c r="K69" t="str">
        <f>IFERROR(VLOOKUP($C69,'Tantárgyi adatok'!B:F,5,FALSE),"nincs")</f>
        <v>Computer Engineering</v>
      </c>
    </row>
    <row r="70" spans="1:11">
      <c r="A70" t="s">
        <v>489</v>
      </c>
      <c r="B70" t="s">
        <v>490</v>
      </c>
      <c r="C70" t="s">
        <v>15</v>
      </c>
      <c r="D70" t="str">
        <f>IFERROR(VLOOKUP($C70,'Tantárgyi adatok'!B:F,2,FALSE),"nincs")</f>
        <v>Diplomatervezés</v>
      </c>
      <c r="E70" t="s">
        <v>644</v>
      </c>
      <c r="F70" t="s">
        <v>645</v>
      </c>
      <c r="G70" t="s">
        <v>81</v>
      </c>
      <c r="H70" t="str">
        <f>IFERROR(VLOOKUP($C70,'Tantárgyi adatok'!B:F,3,FALSE),"nincs")</f>
        <v>Villamosmérnök</v>
      </c>
      <c r="I70" t="s">
        <v>154</v>
      </c>
      <c r="J70" t="str">
        <f>IFERROR(VLOOKUP($C70,'Tantárgyi adatok'!B:F,4,FALSE),"nincs")</f>
        <v>MSc</v>
      </c>
      <c r="K70" t="str">
        <f>IFERROR(VLOOKUP($C70,'Tantárgyi adatok'!B:F,5,FALSE),"nincs")</f>
        <v>Electrical Engineering</v>
      </c>
    </row>
    <row r="71" spans="1:11">
      <c r="A71" t="s">
        <v>491</v>
      </c>
      <c r="B71" t="s">
        <v>492</v>
      </c>
      <c r="C71" t="s">
        <v>47</v>
      </c>
      <c r="D71" t="str">
        <f>IFERROR(VLOOKUP($C71,'Tantárgyi adatok'!B:F,2,FALSE),"nincs")</f>
        <v>Szakdolgozat</v>
      </c>
      <c r="E71" t="s">
        <v>646</v>
      </c>
      <c r="F71" t="s">
        <v>244</v>
      </c>
      <c r="G71" t="s">
        <v>81</v>
      </c>
      <c r="H71" t="str">
        <f>IFERROR(VLOOKUP($C71,'Tantárgyi adatok'!B:F,3,FALSE),"nincs")</f>
        <v>Mérnökinformatikus</v>
      </c>
      <c r="I71" t="s">
        <v>136</v>
      </c>
      <c r="J71" t="str">
        <f>IFERROR(VLOOKUP($C71,'Tantárgyi adatok'!B:F,4,FALSE),"nincs")</f>
        <v>BSc</v>
      </c>
      <c r="K71" t="str">
        <f>IFERROR(VLOOKUP($C71,'Tantárgyi adatok'!B:F,5,FALSE),"nincs")</f>
        <v>Computer Engineering</v>
      </c>
    </row>
    <row r="72" spans="1:11">
      <c r="A72" t="s">
        <v>163</v>
      </c>
      <c r="B72" t="s">
        <v>164</v>
      </c>
      <c r="C72" t="s">
        <v>39</v>
      </c>
      <c r="D72" t="str">
        <f>IFERROR(VLOOKUP($C72,'Tantárgyi adatok'!B:F,2,FALSE),"nincs")</f>
        <v>Szakdolgozat</v>
      </c>
      <c r="E72" t="s">
        <v>248</v>
      </c>
      <c r="F72" t="s">
        <v>249</v>
      </c>
      <c r="G72" t="s">
        <v>81</v>
      </c>
      <c r="H72" t="str">
        <f>IFERROR(VLOOKUP($C72,'Tantárgyi adatok'!B:F,3,FALSE),"nincs")</f>
        <v>Mechatronikai mérnök</v>
      </c>
      <c r="I72" t="s">
        <v>123</v>
      </c>
      <c r="J72" t="str">
        <f>IFERROR(VLOOKUP($C72,'Tantárgyi adatok'!B:F,4,FALSE),"nincs")</f>
        <v>BSc</v>
      </c>
      <c r="K72" t="str">
        <f>IFERROR(VLOOKUP($C72,'Tantárgyi adatok'!B:F,5,FALSE),"nincs")</f>
        <v>Electrical Engineering</v>
      </c>
    </row>
    <row r="73" spans="1:11">
      <c r="A73" t="s">
        <v>493</v>
      </c>
      <c r="B73" t="s">
        <v>494</v>
      </c>
      <c r="C73" t="s">
        <v>11</v>
      </c>
      <c r="D73" t="str">
        <f>IFERROR(VLOOKUP($C73,'Tantárgyi adatok'!B:F,2,FALSE),"nincs")</f>
        <v>Diplomatervezés</v>
      </c>
      <c r="E73" t="s">
        <v>647</v>
      </c>
      <c r="F73" t="s">
        <v>648</v>
      </c>
      <c r="G73" t="s">
        <v>81</v>
      </c>
      <c r="H73" t="str">
        <f>IFERROR(VLOOKUP($C73,'Tantárgyi adatok'!B:F,3,FALSE),"nincs")</f>
        <v>Mérnökinformatikus</v>
      </c>
      <c r="I73" t="s">
        <v>117</v>
      </c>
      <c r="J73" t="str">
        <f>IFERROR(VLOOKUP($C73,'Tantárgyi adatok'!B:F,4,FALSE),"nincs")</f>
        <v>MSc</v>
      </c>
      <c r="K73" t="str">
        <f>IFERROR(VLOOKUP($C73,'Tantárgyi adatok'!B:F,5,FALSE),"nincs")</f>
        <v>Computer Engineering</v>
      </c>
    </row>
    <row r="74" spans="1:11">
      <c r="A74" t="s">
        <v>495</v>
      </c>
      <c r="B74" t="s">
        <v>496</v>
      </c>
      <c r="C74" t="s">
        <v>11</v>
      </c>
      <c r="D74" t="str">
        <f>IFERROR(VLOOKUP($C74,'Tantárgyi adatok'!B:F,2,FALSE),"nincs")</f>
        <v>Diplomatervezés</v>
      </c>
      <c r="E74" t="s">
        <v>649</v>
      </c>
      <c r="F74" t="s">
        <v>650</v>
      </c>
      <c r="G74" t="s">
        <v>81</v>
      </c>
      <c r="H74" t="str">
        <f>IFERROR(VLOOKUP($C74,'Tantárgyi adatok'!B:F,3,FALSE),"nincs")</f>
        <v>Mérnökinformatikus</v>
      </c>
      <c r="I74" t="s">
        <v>105</v>
      </c>
      <c r="J74" t="str">
        <f>IFERROR(VLOOKUP($C74,'Tantárgyi adatok'!B:F,4,FALSE),"nincs")</f>
        <v>MSc</v>
      </c>
      <c r="K74" t="str">
        <f>IFERROR(VLOOKUP($C74,'Tantárgyi adatok'!B:F,5,FALSE),"nincs")</f>
        <v>Computer Engineering</v>
      </c>
    </row>
    <row r="75" spans="1:11">
      <c r="A75" t="s">
        <v>497</v>
      </c>
      <c r="B75" t="s">
        <v>498</v>
      </c>
      <c r="C75" t="s">
        <v>19</v>
      </c>
      <c r="D75" t="str">
        <f>IFERROR(VLOOKUP($C75,'Tantárgyi adatok'!B:F,2,FALSE),"nincs")</f>
        <v>Diplomatervezés</v>
      </c>
      <c r="E75" t="s">
        <v>651</v>
      </c>
      <c r="F75" t="s">
        <v>652</v>
      </c>
      <c r="G75" t="s">
        <v>81</v>
      </c>
      <c r="H75" t="str">
        <f>IFERROR(VLOOKUP($C75,'Tantárgyi adatok'!B:F,3,FALSE),"nincs")</f>
        <v>Mechatronikai mérnök</v>
      </c>
      <c r="I75" t="s">
        <v>135</v>
      </c>
      <c r="J75" t="str">
        <f>IFERROR(VLOOKUP($C75,'Tantárgyi adatok'!B:F,4,FALSE),"nincs")</f>
        <v>MSc</v>
      </c>
      <c r="K75" t="str">
        <f>IFERROR(VLOOKUP($C75,'Tantárgyi adatok'!B:F,5,FALSE),"nincs")</f>
        <v>Mechatronic Engineering</v>
      </c>
    </row>
    <row r="76" spans="1:11">
      <c r="A76" t="s">
        <v>499</v>
      </c>
      <c r="B76" t="s">
        <v>500</v>
      </c>
      <c r="C76" t="s">
        <v>11</v>
      </c>
      <c r="D76" t="str">
        <f>IFERROR(VLOOKUP($C76,'Tantárgyi adatok'!B:F,2,FALSE),"nincs")</f>
        <v>Diplomatervezés</v>
      </c>
      <c r="E76" t="s">
        <v>653</v>
      </c>
      <c r="F76" t="s">
        <v>654</v>
      </c>
      <c r="G76" t="s">
        <v>81</v>
      </c>
      <c r="H76" t="str">
        <f>IFERROR(VLOOKUP($C76,'Tantárgyi adatok'!B:F,3,FALSE),"nincs")</f>
        <v>Mérnökinformatikus</v>
      </c>
      <c r="I76" t="s">
        <v>115</v>
      </c>
      <c r="J76" t="str">
        <f>IFERROR(VLOOKUP($C76,'Tantárgyi adatok'!B:F,4,FALSE),"nincs")</f>
        <v>MSc</v>
      </c>
      <c r="K76" t="str">
        <f>IFERROR(VLOOKUP($C76,'Tantárgyi adatok'!B:F,5,FALSE),"nincs")</f>
        <v>Computer Engineering</v>
      </c>
    </row>
    <row r="77" spans="1:11">
      <c r="A77" t="s">
        <v>501</v>
      </c>
      <c r="B77" t="s">
        <v>502</v>
      </c>
      <c r="C77" t="s">
        <v>47</v>
      </c>
      <c r="D77" t="str">
        <f>IFERROR(VLOOKUP($C77,'Tantárgyi adatok'!B:F,2,FALSE),"nincs")</f>
        <v>Szakdolgozat</v>
      </c>
      <c r="E77" t="s">
        <v>655</v>
      </c>
      <c r="F77" t="s">
        <v>656</v>
      </c>
      <c r="G77" t="s">
        <v>81</v>
      </c>
      <c r="H77" t="str">
        <f>IFERROR(VLOOKUP($C77,'Tantárgyi adatok'!B:F,3,FALSE),"nincs")</f>
        <v>Mérnökinformatikus</v>
      </c>
      <c r="I77" t="s">
        <v>105</v>
      </c>
      <c r="J77" t="str">
        <f>IFERROR(VLOOKUP($C77,'Tantárgyi adatok'!B:F,4,FALSE),"nincs")</f>
        <v>BSc</v>
      </c>
      <c r="K77" t="str">
        <f>IFERROR(VLOOKUP($C77,'Tantárgyi adatok'!B:F,5,FALSE),"nincs")</f>
        <v>Computer Engineering</v>
      </c>
    </row>
    <row r="78" spans="1:11">
      <c r="A78" t="s">
        <v>147</v>
      </c>
      <c r="B78" t="s">
        <v>148</v>
      </c>
      <c r="C78" t="s">
        <v>11</v>
      </c>
      <c r="D78" t="str">
        <f>IFERROR(VLOOKUP($C78,'Tantárgyi adatok'!B:F,2,FALSE),"nincs")</f>
        <v>Diplomatervezés</v>
      </c>
      <c r="E78" t="s">
        <v>242</v>
      </c>
      <c r="F78" t="s">
        <v>243</v>
      </c>
      <c r="G78" t="s">
        <v>81</v>
      </c>
      <c r="H78" t="str">
        <f>IFERROR(VLOOKUP($C78,'Tantárgyi adatok'!B:F,3,FALSE),"nincs")</f>
        <v>Mérnökinformatikus</v>
      </c>
      <c r="I78" t="s">
        <v>136</v>
      </c>
      <c r="J78" t="str">
        <f>IFERROR(VLOOKUP($C78,'Tantárgyi adatok'!B:F,4,FALSE),"nincs")</f>
        <v>MSc</v>
      </c>
      <c r="K78" t="str">
        <f>IFERROR(VLOOKUP($C78,'Tantárgyi adatok'!B:F,5,FALSE),"nincs")</f>
        <v>Computer Engineering</v>
      </c>
    </row>
    <row r="79" spans="1:11">
      <c r="A79" t="s">
        <v>503</v>
      </c>
      <c r="B79" t="s">
        <v>504</v>
      </c>
      <c r="C79" t="s">
        <v>45</v>
      </c>
      <c r="D79" t="str">
        <f>IFERROR(VLOOKUP($C79,'Tantárgyi adatok'!B:F,2,FALSE),"nincs")</f>
        <v>Szakdolgozat</v>
      </c>
      <c r="E79" t="s">
        <v>657</v>
      </c>
      <c r="F79" t="s">
        <v>658</v>
      </c>
      <c r="G79" t="s">
        <v>81</v>
      </c>
      <c r="H79" t="str">
        <f>IFERROR(VLOOKUP($C79,'Tantárgyi adatok'!B:F,3,FALSE),"nincs")</f>
        <v>Mérnökinformatikus</v>
      </c>
      <c r="I79" t="s">
        <v>136</v>
      </c>
      <c r="J79" t="str">
        <f>IFERROR(VLOOKUP($C79,'Tantárgyi adatok'!B:F,4,FALSE),"nincs")</f>
        <v>BSc</v>
      </c>
      <c r="K79" t="str">
        <f>IFERROR(VLOOKUP($C79,'Tantárgyi adatok'!B:F,5,FALSE),"nincs")</f>
        <v>Computer Engineering</v>
      </c>
    </row>
    <row r="80" spans="1:11">
      <c r="A80" t="s">
        <v>505</v>
      </c>
      <c r="B80" t="s">
        <v>506</v>
      </c>
      <c r="C80" t="s">
        <v>15</v>
      </c>
      <c r="D80" t="str">
        <f>IFERROR(VLOOKUP($C80,'Tantárgyi adatok'!B:F,2,FALSE),"nincs")</f>
        <v>Diplomatervezés</v>
      </c>
      <c r="E80" t="s">
        <v>250</v>
      </c>
      <c r="F80" t="s">
        <v>251</v>
      </c>
      <c r="G80" t="s">
        <v>81</v>
      </c>
      <c r="H80" t="str">
        <f>IFERROR(VLOOKUP($C80,'Tantárgyi adatok'!B:F,3,FALSE),"nincs")</f>
        <v>Villamosmérnök</v>
      </c>
      <c r="I80" t="s">
        <v>128</v>
      </c>
      <c r="J80" t="str">
        <f>IFERROR(VLOOKUP($C80,'Tantárgyi adatok'!B:F,4,FALSE),"nincs")</f>
        <v>MSc</v>
      </c>
      <c r="K80" t="str">
        <f>IFERROR(VLOOKUP($C80,'Tantárgyi adatok'!B:F,5,FALSE),"nincs")</f>
        <v>Electrical Engineering</v>
      </c>
    </row>
    <row r="81" spans="1:11">
      <c r="A81" t="s">
        <v>507</v>
      </c>
      <c r="B81" t="s">
        <v>508</v>
      </c>
      <c r="C81" t="s">
        <v>11</v>
      </c>
      <c r="D81" t="str">
        <f>IFERROR(VLOOKUP($C81,'Tantárgyi adatok'!B:F,2,FALSE),"nincs")</f>
        <v>Diplomatervezés</v>
      </c>
      <c r="E81" t="s">
        <v>659</v>
      </c>
      <c r="F81" t="s">
        <v>660</v>
      </c>
      <c r="G81" t="s">
        <v>81</v>
      </c>
      <c r="H81" t="str">
        <f>IFERROR(VLOOKUP($C81,'Tantárgyi adatok'!B:F,3,FALSE),"nincs")</f>
        <v>Mérnökinformatikus</v>
      </c>
      <c r="I81" t="s">
        <v>117</v>
      </c>
      <c r="J81" t="str">
        <f>IFERROR(VLOOKUP($C81,'Tantárgyi adatok'!B:F,4,FALSE),"nincs")</f>
        <v>MSc</v>
      </c>
      <c r="K81" t="str">
        <f>IFERROR(VLOOKUP($C81,'Tantárgyi adatok'!B:F,5,FALSE),"nincs")</f>
        <v>Computer Engineering</v>
      </c>
    </row>
    <row r="82" spans="1:11">
      <c r="A82" t="s">
        <v>509</v>
      </c>
      <c r="B82" t="s">
        <v>510</v>
      </c>
      <c r="C82" t="s">
        <v>47</v>
      </c>
      <c r="D82" t="str">
        <f>IFERROR(VLOOKUP($C82,'Tantárgyi adatok'!B:F,2,FALSE),"nincs")</f>
        <v>Szakdolgozat</v>
      </c>
      <c r="E82" t="s">
        <v>661</v>
      </c>
      <c r="F82" t="s">
        <v>662</v>
      </c>
      <c r="G82" t="s">
        <v>81</v>
      </c>
      <c r="H82" t="str">
        <f>IFERROR(VLOOKUP($C82,'Tantárgyi adatok'!B:F,3,FALSE),"nincs")</f>
        <v>Mérnökinformatikus</v>
      </c>
      <c r="I82" t="s">
        <v>139</v>
      </c>
      <c r="J82" t="str">
        <f>IFERROR(VLOOKUP($C82,'Tantárgyi adatok'!B:F,4,FALSE),"nincs")</f>
        <v>BSc</v>
      </c>
      <c r="K82" t="str">
        <f>IFERROR(VLOOKUP($C82,'Tantárgyi adatok'!B:F,5,FALSE),"nincs")</f>
        <v>Computer Engineering</v>
      </c>
    </row>
    <row r="83" spans="1:11">
      <c r="A83" t="s">
        <v>228</v>
      </c>
      <c r="B83" t="s">
        <v>229</v>
      </c>
      <c r="C83" t="s">
        <v>47</v>
      </c>
      <c r="D83" t="str">
        <f>IFERROR(VLOOKUP($C83,'Tantárgyi adatok'!B:F,2,FALSE),"nincs")</f>
        <v>Szakdolgozat</v>
      </c>
      <c r="E83" t="s">
        <v>271</v>
      </c>
      <c r="F83" t="s">
        <v>272</v>
      </c>
      <c r="G83" t="s">
        <v>81</v>
      </c>
      <c r="H83" t="str">
        <f>IFERROR(VLOOKUP($C83,'Tantárgyi adatok'!B:F,3,FALSE),"nincs")</f>
        <v>Mérnökinformatikus</v>
      </c>
      <c r="I83" t="s">
        <v>144</v>
      </c>
      <c r="J83" t="str">
        <f>IFERROR(VLOOKUP($C83,'Tantárgyi adatok'!B:F,4,FALSE),"nincs")</f>
        <v>BSc</v>
      </c>
      <c r="K83" t="str">
        <f>IFERROR(VLOOKUP($C83,'Tantárgyi adatok'!B:F,5,FALSE),"nincs")</f>
        <v>Computer Engineering</v>
      </c>
    </row>
    <row r="84" spans="1:11">
      <c r="A84" t="s">
        <v>511</v>
      </c>
      <c r="B84" t="s">
        <v>512</v>
      </c>
      <c r="C84" t="s">
        <v>15</v>
      </c>
      <c r="D84" t="str">
        <f>IFERROR(VLOOKUP($C84,'Tantárgyi adatok'!B:F,2,FALSE),"nincs")</f>
        <v>Diplomatervezés</v>
      </c>
      <c r="E84" t="s">
        <v>663</v>
      </c>
      <c r="F84" t="s">
        <v>664</v>
      </c>
      <c r="G84" t="s">
        <v>81</v>
      </c>
      <c r="H84" t="str">
        <f>IFERROR(VLOOKUP($C84,'Tantárgyi adatok'!B:F,3,FALSE),"nincs")</f>
        <v>Villamosmérnök</v>
      </c>
      <c r="I84" t="s">
        <v>129</v>
      </c>
      <c r="J84" t="str">
        <f>IFERROR(VLOOKUP($C84,'Tantárgyi adatok'!B:F,4,FALSE),"nincs")</f>
        <v>MSc</v>
      </c>
      <c r="K84" t="str">
        <f>IFERROR(VLOOKUP($C84,'Tantárgyi adatok'!B:F,5,FALSE),"nincs")</f>
        <v>Electrical Engineering</v>
      </c>
    </row>
    <row r="85" spans="1:11">
      <c r="A85" t="s">
        <v>230</v>
      </c>
      <c r="B85" t="s">
        <v>231</v>
      </c>
      <c r="C85" t="s">
        <v>47</v>
      </c>
      <c r="D85" t="str">
        <f>IFERROR(VLOOKUP($C85,'Tantárgyi adatok'!B:F,2,FALSE),"nincs")</f>
        <v>Szakdolgozat</v>
      </c>
      <c r="E85" t="s">
        <v>273</v>
      </c>
      <c r="F85" t="s">
        <v>274</v>
      </c>
      <c r="G85" t="s">
        <v>81</v>
      </c>
      <c r="H85" t="str">
        <f>IFERROR(VLOOKUP($C85,'Tantárgyi adatok'!B:F,3,FALSE),"nincs")</f>
        <v>Mérnökinformatikus</v>
      </c>
      <c r="I85" t="s">
        <v>112</v>
      </c>
      <c r="J85" t="str">
        <f>IFERROR(VLOOKUP($C85,'Tantárgyi adatok'!B:F,4,FALSE),"nincs")</f>
        <v>BSc</v>
      </c>
      <c r="K85" t="str">
        <f>IFERROR(VLOOKUP($C85,'Tantárgyi adatok'!B:F,5,FALSE),"nincs")</f>
        <v>Computer Engineering</v>
      </c>
    </row>
    <row r="86" spans="1:11">
      <c r="A86" t="s">
        <v>513</v>
      </c>
      <c r="B86" t="s">
        <v>514</v>
      </c>
      <c r="C86" t="s">
        <v>19</v>
      </c>
      <c r="D86" t="str">
        <f>IFERROR(VLOOKUP($C86,'Tantárgyi adatok'!B:F,2,FALSE),"nincs")</f>
        <v>Diplomatervezés</v>
      </c>
      <c r="E86" t="s">
        <v>665</v>
      </c>
      <c r="F86" t="s">
        <v>665</v>
      </c>
      <c r="G86" t="s">
        <v>81</v>
      </c>
      <c r="H86" t="str">
        <f>IFERROR(VLOOKUP($C86,'Tantárgyi adatok'!B:F,3,FALSE),"nincs")</f>
        <v>Mechatronikai mérnök</v>
      </c>
      <c r="I86" t="s">
        <v>155</v>
      </c>
      <c r="J86" t="str">
        <f>IFERROR(VLOOKUP($C86,'Tantárgyi adatok'!B:F,4,FALSE),"nincs")</f>
        <v>MSc</v>
      </c>
      <c r="K86" t="str">
        <f>IFERROR(VLOOKUP($C86,'Tantárgyi adatok'!B:F,5,FALSE),"nincs")</f>
        <v>Mechatronic Engineering</v>
      </c>
    </row>
    <row r="87" spans="1:11">
      <c r="A87" t="s">
        <v>515</v>
      </c>
      <c r="B87" t="s">
        <v>516</v>
      </c>
      <c r="C87" t="s">
        <v>11</v>
      </c>
      <c r="D87" t="str">
        <f>IFERROR(VLOOKUP($C87,'Tantárgyi adatok'!B:F,2,FALSE),"nincs")</f>
        <v>Diplomatervezés</v>
      </c>
      <c r="E87" t="s">
        <v>666</v>
      </c>
      <c r="F87" t="s">
        <v>667</v>
      </c>
      <c r="G87" t="s">
        <v>245</v>
      </c>
      <c r="H87" t="str">
        <f>IFERROR(VLOOKUP($C87,'Tantárgyi adatok'!B:F,3,FALSE),"nincs")</f>
        <v>Mérnökinformatikus</v>
      </c>
      <c r="I87" t="s">
        <v>288</v>
      </c>
      <c r="J87" t="str">
        <f>IFERROR(VLOOKUP($C87,'Tantárgyi adatok'!B:F,4,FALSE),"nincs")</f>
        <v>MSc</v>
      </c>
      <c r="K87" t="str">
        <f>IFERROR(VLOOKUP($C87,'Tantárgyi adatok'!B:F,5,FALSE),"nincs")</f>
        <v>Computer Engineering</v>
      </c>
    </row>
    <row r="88" spans="1:11">
      <c r="A88" t="s">
        <v>517</v>
      </c>
      <c r="B88" t="s">
        <v>518</v>
      </c>
      <c r="C88" t="s">
        <v>47</v>
      </c>
      <c r="D88" t="str">
        <f>IFERROR(VLOOKUP($C88,'Tantárgyi adatok'!B:F,2,FALSE),"nincs")</f>
        <v>Szakdolgozat</v>
      </c>
      <c r="E88" t="s">
        <v>668</v>
      </c>
      <c r="F88" t="s">
        <v>669</v>
      </c>
      <c r="G88" t="s">
        <v>81</v>
      </c>
      <c r="H88" t="str">
        <f>IFERROR(VLOOKUP($C88,'Tantárgyi adatok'!B:F,3,FALSE),"nincs")</f>
        <v>Mérnökinformatikus</v>
      </c>
      <c r="I88" t="s">
        <v>117</v>
      </c>
      <c r="J88" t="str">
        <f>IFERROR(VLOOKUP($C88,'Tantárgyi adatok'!B:F,4,FALSE),"nincs")</f>
        <v>BSc</v>
      </c>
      <c r="K88" t="str">
        <f>IFERROR(VLOOKUP($C88,'Tantárgyi adatok'!B:F,5,FALSE),"nincs")</f>
        <v>Computer Engineering</v>
      </c>
    </row>
    <row r="89" spans="1:11">
      <c r="A89" t="s">
        <v>519</v>
      </c>
      <c r="B89" t="s">
        <v>520</v>
      </c>
      <c r="C89" t="s">
        <v>47</v>
      </c>
      <c r="D89" t="str">
        <f>IFERROR(VLOOKUP($C89,'Tantárgyi adatok'!B:F,2,FALSE),"nincs")</f>
        <v>Szakdolgozat</v>
      </c>
      <c r="E89" t="s">
        <v>670</v>
      </c>
      <c r="F89" t="s">
        <v>671</v>
      </c>
      <c r="G89" t="s">
        <v>81</v>
      </c>
      <c r="H89" t="str">
        <f>IFERROR(VLOOKUP($C89,'Tantárgyi adatok'!B:F,3,FALSE),"nincs")</f>
        <v>Mérnökinformatikus</v>
      </c>
      <c r="I89" t="s">
        <v>104</v>
      </c>
      <c r="J89" t="str">
        <f>IFERROR(VLOOKUP($C89,'Tantárgyi adatok'!B:F,4,FALSE),"nincs")</f>
        <v>BSc</v>
      </c>
      <c r="K89" t="str">
        <f>IFERROR(VLOOKUP($C89,'Tantárgyi adatok'!B:F,5,FALSE),"nincs")</f>
        <v>Computer Engineering</v>
      </c>
    </row>
    <row r="90" spans="1:11">
      <c r="A90" t="s">
        <v>521</v>
      </c>
      <c r="B90" t="s">
        <v>522</v>
      </c>
      <c r="C90" t="s">
        <v>47</v>
      </c>
      <c r="D90" t="str">
        <f>IFERROR(VLOOKUP($C90,'Tantárgyi adatok'!B:F,2,FALSE),"nincs")</f>
        <v>Szakdolgozat</v>
      </c>
      <c r="E90" t="s">
        <v>672</v>
      </c>
      <c r="F90" t="s">
        <v>673</v>
      </c>
      <c r="G90" t="s">
        <v>81</v>
      </c>
      <c r="H90" t="str">
        <f>IFERROR(VLOOKUP($C90,'Tantárgyi adatok'!B:F,3,FALSE),"nincs")</f>
        <v>Mérnökinformatikus</v>
      </c>
      <c r="I90" t="s">
        <v>104</v>
      </c>
      <c r="J90" t="str">
        <f>IFERROR(VLOOKUP($C90,'Tantárgyi adatok'!B:F,4,FALSE),"nincs")</f>
        <v>BSc</v>
      </c>
      <c r="K90" t="str">
        <f>IFERROR(VLOOKUP($C90,'Tantárgyi adatok'!B:F,5,FALSE),"nincs")</f>
        <v>Computer Engineering</v>
      </c>
    </row>
    <row r="91" spans="1:11">
      <c r="A91" t="s">
        <v>523</v>
      </c>
      <c r="B91" t="s">
        <v>524</v>
      </c>
      <c r="C91" t="s">
        <v>11</v>
      </c>
      <c r="D91" t="str">
        <f>IFERROR(VLOOKUP($C91,'Tantárgyi adatok'!B:F,2,FALSE),"nincs")</f>
        <v>Diplomatervezés</v>
      </c>
      <c r="E91" t="s">
        <v>674</v>
      </c>
      <c r="F91" t="s">
        <v>675</v>
      </c>
      <c r="G91" t="s">
        <v>81</v>
      </c>
      <c r="H91" t="str">
        <f>IFERROR(VLOOKUP($C91,'Tantárgyi adatok'!B:F,3,FALSE),"nincs")</f>
        <v>Mérnökinformatikus</v>
      </c>
      <c r="I91" t="s">
        <v>144</v>
      </c>
      <c r="J91" t="str">
        <f>IFERROR(VLOOKUP($C91,'Tantárgyi adatok'!B:F,4,FALSE),"nincs")</f>
        <v>MSc</v>
      </c>
      <c r="K91" t="str">
        <f>IFERROR(VLOOKUP($C91,'Tantárgyi adatok'!B:F,5,FALSE),"nincs")</f>
        <v>Computer Engineering</v>
      </c>
    </row>
    <row r="92" spans="1:11">
      <c r="A92" t="s">
        <v>525</v>
      </c>
      <c r="B92" t="s">
        <v>526</v>
      </c>
      <c r="C92" t="s">
        <v>11</v>
      </c>
      <c r="D92" t="str">
        <f>IFERROR(VLOOKUP($C92,'Tantárgyi adatok'!B:F,2,FALSE),"nincs")</f>
        <v>Diplomatervezés</v>
      </c>
      <c r="E92" t="s">
        <v>676</v>
      </c>
      <c r="F92" t="s">
        <v>677</v>
      </c>
      <c r="G92" t="s">
        <v>245</v>
      </c>
      <c r="H92" t="str">
        <f>IFERROR(VLOOKUP($C92,'Tantárgyi adatok'!B:F,3,FALSE),"nincs")</f>
        <v>Mérnökinformatikus</v>
      </c>
      <c r="I92" t="s">
        <v>114</v>
      </c>
      <c r="J92" t="str">
        <f>IFERROR(VLOOKUP($C92,'Tantárgyi adatok'!B:F,4,FALSE),"nincs")</f>
        <v>MSc</v>
      </c>
      <c r="K92" t="str">
        <f>IFERROR(VLOOKUP($C92,'Tantárgyi adatok'!B:F,5,FALSE),"nincs")</f>
        <v>Computer Engineering</v>
      </c>
    </row>
    <row r="93" spans="1:11">
      <c r="A93" t="s">
        <v>527</v>
      </c>
      <c r="B93" t="s">
        <v>528</v>
      </c>
      <c r="C93" t="s">
        <v>11</v>
      </c>
      <c r="D93" t="str">
        <f>IFERROR(VLOOKUP($C93,'Tantárgyi adatok'!B:F,2,FALSE),"nincs")</f>
        <v>Diplomatervezés</v>
      </c>
      <c r="E93" t="s">
        <v>678</v>
      </c>
      <c r="F93" t="s">
        <v>679</v>
      </c>
      <c r="G93" t="s">
        <v>245</v>
      </c>
      <c r="H93" t="str">
        <f>IFERROR(VLOOKUP($C93,'Tantárgyi adatok'!B:F,3,FALSE),"nincs")</f>
        <v>Mérnökinformatikus</v>
      </c>
      <c r="I93" t="s">
        <v>114</v>
      </c>
      <c r="J93" t="str">
        <f>IFERROR(VLOOKUP($C93,'Tantárgyi adatok'!B:F,4,FALSE),"nincs")</f>
        <v>MSc</v>
      </c>
      <c r="K93" t="str">
        <f>IFERROR(VLOOKUP($C93,'Tantárgyi adatok'!B:F,5,FALSE),"nincs")</f>
        <v>Computer Engineering</v>
      </c>
    </row>
    <row r="94" spans="1:11">
      <c r="A94" t="s">
        <v>529</v>
      </c>
      <c r="B94" t="s">
        <v>530</v>
      </c>
      <c r="C94" t="s">
        <v>45</v>
      </c>
      <c r="D94" t="str">
        <f>IFERROR(VLOOKUP($C94,'Tantárgyi adatok'!B:F,2,FALSE),"nincs")</f>
        <v>Szakdolgozat</v>
      </c>
      <c r="E94" t="s">
        <v>680</v>
      </c>
      <c r="F94" t="s">
        <v>681</v>
      </c>
      <c r="G94" t="s">
        <v>81</v>
      </c>
      <c r="H94" t="str">
        <f>IFERROR(VLOOKUP($C94,'Tantárgyi adatok'!B:F,3,FALSE),"nincs")</f>
        <v>Mérnökinformatikus</v>
      </c>
      <c r="I94" t="s">
        <v>114</v>
      </c>
      <c r="J94" t="str">
        <f>IFERROR(VLOOKUP($C94,'Tantárgyi adatok'!B:F,4,FALSE),"nincs")</f>
        <v>BSc</v>
      </c>
      <c r="K94" t="str">
        <f>IFERROR(VLOOKUP($C94,'Tantárgyi adatok'!B:F,5,FALSE),"nincs")</f>
        <v>Computer Engineering</v>
      </c>
    </row>
    <row r="95" spans="1:11">
      <c r="A95" t="s">
        <v>207</v>
      </c>
      <c r="B95" t="s">
        <v>208</v>
      </c>
      <c r="C95" t="s">
        <v>47</v>
      </c>
      <c r="D95" t="str">
        <f>IFERROR(VLOOKUP($C95,'Tantárgyi adatok'!B:F,2,FALSE),"nincs")</f>
        <v>Szakdolgozat</v>
      </c>
      <c r="E95" t="s">
        <v>682</v>
      </c>
      <c r="F95" t="s">
        <v>683</v>
      </c>
      <c r="G95" t="s">
        <v>245</v>
      </c>
      <c r="H95" t="str">
        <f>IFERROR(VLOOKUP($C95,'Tantárgyi adatok'!B:F,3,FALSE),"nincs")</f>
        <v>Mérnökinformatikus</v>
      </c>
      <c r="I95" t="s">
        <v>113</v>
      </c>
      <c r="J95" t="str">
        <f>IFERROR(VLOOKUP($C95,'Tantárgyi adatok'!B:F,4,FALSE),"nincs")</f>
        <v>BSc</v>
      </c>
      <c r="K95" t="str">
        <f>IFERROR(VLOOKUP($C95,'Tantárgyi adatok'!B:F,5,FALSE),"nincs")</f>
        <v>Computer Engineering</v>
      </c>
    </row>
    <row r="96" spans="1:11">
      <c r="A96" t="s">
        <v>232</v>
      </c>
      <c r="B96" t="s">
        <v>233</v>
      </c>
      <c r="C96" t="s">
        <v>47</v>
      </c>
      <c r="D96" t="str">
        <f>IFERROR(VLOOKUP($C96,'Tantárgyi adatok'!B:F,2,FALSE),"nincs")</f>
        <v>Szakdolgozat</v>
      </c>
      <c r="E96" t="s">
        <v>275</v>
      </c>
      <c r="F96" t="s">
        <v>275</v>
      </c>
      <c r="G96" t="s">
        <v>245</v>
      </c>
      <c r="H96" t="str">
        <f>IFERROR(VLOOKUP($C96,'Tantárgyi adatok'!B:F,3,FALSE),"nincs")</f>
        <v>Mérnökinformatikus</v>
      </c>
      <c r="I96" t="s">
        <v>196</v>
      </c>
      <c r="J96" t="str">
        <f>IFERROR(VLOOKUP($C96,'Tantárgyi adatok'!B:F,4,FALSE),"nincs")</f>
        <v>BSc</v>
      </c>
      <c r="K96" t="str">
        <f>IFERROR(VLOOKUP($C96,'Tantárgyi adatok'!B:F,5,FALSE),"nincs")</f>
        <v>Computer Engineering</v>
      </c>
    </row>
    <row r="97" spans="1:11">
      <c r="A97" t="s">
        <v>194</v>
      </c>
      <c r="B97" t="s">
        <v>195</v>
      </c>
      <c r="C97" t="s">
        <v>45</v>
      </c>
      <c r="D97" t="str">
        <f>IFERROR(VLOOKUP($C97,'Tantárgyi adatok'!B:F,2,FALSE),"nincs")</f>
        <v>Szakdolgozat</v>
      </c>
      <c r="E97" t="s">
        <v>258</v>
      </c>
      <c r="F97" t="s">
        <v>258</v>
      </c>
      <c r="G97" t="s">
        <v>245</v>
      </c>
      <c r="H97" t="str">
        <f>IFERROR(VLOOKUP($C97,'Tantárgyi adatok'!B:F,3,FALSE),"nincs")</f>
        <v>Mérnökinformatikus</v>
      </c>
      <c r="I97" t="s">
        <v>196</v>
      </c>
      <c r="J97" t="str">
        <f>IFERROR(VLOOKUP($C97,'Tantárgyi adatok'!B:F,4,FALSE),"nincs")</f>
        <v>BSc</v>
      </c>
      <c r="K97" t="str">
        <f>IFERROR(VLOOKUP($C97,'Tantárgyi adatok'!B:F,5,FALSE),"nincs")</f>
        <v>Computer Engineering</v>
      </c>
    </row>
    <row r="98" spans="1:11">
      <c r="A98" t="s">
        <v>236</v>
      </c>
      <c r="B98" t="s">
        <v>237</v>
      </c>
      <c r="C98" t="s">
        <v>47</v>
      </c>
      <c r="D98" t="str">
        <f>IFERROR(VLOOKUP($C98,'Tantárgyi adatok'!B:F,2,FALSE),"nincs")</f>
        <v>Szakdolgozat</v>
      </c>
      <c r="E98" t="s">
        <v>276</v>
      </c>
      <c r="F98" t="s">
        <v>276</v>
      </c>
      <c r="G98" t="s">
        <v>245</v>
      </c>
      <c r="H98" t="str">
        <f>IFERROR(VLOOKUP($C98,'Tantárgyi adatok'!B:F,3,FALSE),"nincs")</f>
        <v>Mérnökinformatikus</v>
      </c>
      <c r="I98" t="s">
        <v>196</v>
      </c>
      <c r="J98" t="str">
        <f>IFERROR(VLOOKUP($C98,'Tantárgyi adatok'!B:F,4,FALSE),"nincs")</f>
        <v>BSc</v>
      </c>
      <c r="K98" t="str">
        <f>IFERROR(VLOOKUP($C98,'Tantárgyi adatok'!B:F,5,FALSE),"nincs")</f>
        <v>Computer Engineering</v>
      </c>
    </row>
    <row r="99" spans="1:11">
      <c r="A99" t="s">
        <v>531</v>
      </c>
      <c r="B99" t="s">
        <v>532</v>
      </c>
      <c r="C99" t="s">
        <v>43</v>
      </c>
      <c r="D99" t="str">
        <f>IFERROR(VLOOKUP($C99,'Tantárgyi adatok'!B:F,2,FALSE),"nincs")</f>
        <v>Szakdolgozat</v>
      </c>
      <c r="E99" t="s">
        <v>684</v>
      </c>
      <c r="F99" t="s">
        <v>685</v>
      </c>
      <c r="G99" t="s">
        <v>245</v>
      </c>
      <c r="H99" t="str">
        <f>IFERROR(VLOOKUP($C99,'Tantárgyi adatok'!B:F,3,FALSE),"nincs")</f>
        <v>Villamosmérnök</v>
      </c>
      <c r="I99" t="s">
        <v>533</v>
      </c>
      <c r="J99" t="str">
        <f>IFERROR(VLOOKUP($C99,'Tantárgyi adatok'!B:F,4,FALSE),"nincs")</f>
        <v>BSc</v>
      </c>
      <c r="K99" t="str">
        <f>IFERROR(VLOOKUP($C99,'Tantárgyi adatok'!B:F,5,FALSE),"nincs")</f>
        <v>Electrical Engineering</v>
      </c>
    </row>
  </sheetData>
  <sortState xmlns:xlrd2="http://schemas.microsoft.com/office/spreadsheetml/2017/richdata2" ref="A2:K31">
    <sortCondition ref="A1:A3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45B-B7AD-4B32-91D4-DA0DADC54BA3}">
  <sheetPr codeName="Munka4"/>
  <dimension ref="A1:C88"/>
  <sheetViews>
    <sheetView workbookViewId="0"/>
  </sheetViews>
  <sheetFormatPr defaultRowHeight="13.5"/>
  <cols>
    <col min="1" max="1" width="31.5625" bestFit="1" customWidth="1"/>
    <col min="2" max="2" width="11.125" bestFit="1" customWidth="1"/>
    <col min="3" max="3" width="22.4375" bestFit="1" customWidth="1"/>
  </cols>
  <sheetData>
    <row r="1" spans="1:3" s="2" customFormat="1" ht="13.9">
      <c r="A1" s="2" t="s">
        <v>55</v>
      </c>
      <c r="B1" s="2" t="s">
        <v>54</v>
      </c>
      <c r="C1" s="2" t="s">
        <v>57</v>
      </c>
    </row>
    <row r="2" spans="1:3">
      <c r="A2" t="s">
        <v>289</v>
      </c>
      <c r="B2" t="s">
        <v>290</v>
      </c>
      <c r="C2" t="s">
        <v>291</v>
      </c>
    </row>
    <row r="3" spans="1:3">
      <c r="A3" t="s">
        <v>686</v>
      </c>
      <c r="B3" t="s">
        <v>687</v>
      </c>
      <c r="C3" t="s">
        <v>119</v>
      </c>
    </row>
    <row r="4" spans="1:3">
      <c r="A4" t="s">
        <v>688</v>
      </c>
      <c r="B4" t="s">
        <v>689</v>
      </c>
      <c r="C4" t="s">
        <v>297</v>
      </c>
    </row>
    <row r="5" spans="1:3">
      <c r="A5" t="s">
        <v>690</v>
      </c>
      <c r="B5" t="s">
        <v>691</v>
      </c>
      <c r="C5" t="s">
        <v>115</v>
      </c>
    </row>
    <row r="6" spans="1:3">
      <c r="A6" t="s">
        <v>692</v>
      </c>
      <c r="B6" t="s">
        <v>693</v>
      </c>
      <c r="C6" t="s">
        <v>115</v>
      </c>
    </row>
    <row r="7" spans="1:3">
      <c r="A7" t="s">
        <v>694</v>
      </c>
      <c r="B7" t="s">
        <v>695</v>
      </c>
      <c r="C7" t="s">
        <v>115</v>
      </c>
    </row>
    <row r="8" spans="1:3">
      <c r="A8" t="s">
        <v>696</v>
      </c>
      <c r="B8" t="s">
        <v>697</v>
      </c>
      <c r="C8" t="s">
        <v>115</v>
      </c>
    </row>
    <row r="9" spans="1:3">
      <c r="A9" t="s">
        <v>698</v>
      </c>
      <c r="B9" t="s">
        <v>699</v>
      </c>
      <c r="C9" t="s">
        <v>119</v>
      </c>
    </row>
    <row r="10" spans="1:3">
      <c r="A10" t="s">
        <v>700</v>
      </c>
      <c r="B10" t="s">
        <v>701</v>
      </c>
      <c r="C10" t="s">
        <v>119</v>
      </c>
    </row>
    <row r="11" spans="1:3">
      <c r="A11" t="s">
        <v>702</v>
      </c>
      <c r="B11" t="s">
        <v>703</v>
      </c>
      <c r="C11" t="s">
        <v>115</v>
      </c>
    </row>
    <row r="12" spans="1:3">
      <c r="A12" t="s">
        <v>278</v>
      </c>
      <c r="B12" t="s">
        <v>279</v>
      </c>
      <c r="C12" t="s">
        <v>704</v>
      </c>
    </row>
    <row r="13" spans="1:3">
      <c r="A13" t="s">
        <v>705</v>
      </c>
      <c r="B13" t="s">
        <v>706</v>
      </c>
      <c r="C13" t="s">
        <v>277</v>
      </c>
    </row>
    <row r="14" spans="1:3">
      <c r="A14" t="s">
        <v>707</v>
      </c>
      <c r="B14" t="s">
        <v>708</v>
      </c>
      <c r="C14" t="s">
        <v>126</v>
      </c>
    </row>
    <row r="15" spans="1:3">
      <c r="A15" t="s">
        <v>709</v>
      </c>
      <c r="B15" t="s">
        <v>710</v>
      </c>
      <c r="C15" t="s">
        <v>126</v>
      </c>
    </row>
    <row r="16" spans="1:3">
      <c r="A16" t="s">
        <v>711</v>
      </c>
      <c r="B16" t="s">
        <v>712</v>
      </c>
      <c r="C16" t="s">
        <v>126</v>
      </c>
    </row>
    <row r="17" spans="1:3">
      <c r="A17" t="s">
        <v>713</v>
      </c>
      <c r="B17" t="s">
        <v>714</v>
      </c>
      <c r="C17" t="s">
        <v>126</v>
      </c>
    </row>
    <row r="18" spans="1:3">
      <c r="A18" t="s">
        <v>715</v>
      </c>
      <c r="B18" t="s">
        <v>716</v>
      </c>
      <c r="C18" t="s">
        <v>717</v>
      </c>
    </row>
    <row r="19" spans="1:3">
      <c r="A19" t="s">
        <v>718</v>
      </c>
      <c r="B19" t="s">
        <v>719</v>
      </c>
      <c r="C19" t="s">
        <v>126</v>
      </c>
    </row>
    <row r="20" spans="1:3">
      <c r="A20" t="s">
        <v>720</v>
      </c>
      <c r="B20" t="s">
        <v>721</v>
      </c>
      <c r="C20" t="s">
        <v>126</v>
      </c>
    </row>
    <row r="21" spans="1:3">
      <c r="A21" t="s">
        <v>722</v>
      </c>
      <c r="B21" t="s">
        <v>723</v>
      </c>
      <c r="C21" t="s">
        <v>126</v>
      </c>
    </row>
    <row r="22" spans="1:3">
      <c r="A22" t="s">
        <v>724</v>
      </c>
      <c r="B22" t="s">
        <v>725</v>
      </c>
      <c r="C22" t="s">
        <v>126</v>
      </c>
    </row>
    <row r="23" spans="1:3">
      <c r="A23" t="s">
        <v>726</v>
      </c>
      <c r="B23" t="s">
        <v>727</v>
      </c>
      <c r="C23" t="s">
        <v>126</v>
      </c>
    </row>
    <row r="24" spans="1:3">
      <c r="A24" t="s">
        <v>284</v>
      </c>
      <c r="B24" t="s">
        <v>285</v>
      </c>
      <c r="C24" t="s">
        <v>151</v>
      </c>
    </row>
    <row r="25" spans="1:3">
      <c r="A25" t="s">
        <v>330</v>
      </c>
      <c r="B25" t="s">
        <v>331</v>
      </c>
      <c r="C25" t="s">
        <v>332</v>
      </c>
    </row>
    <row r="26" spans="1:3">
      <c r="A26" t="s">
        <v>728</v>
      </c>
      <c r="B26" t="s">
        <v>729</v>
      </c>
      <c r="C26" t="s">
        <v>730</v>
      </c>
    </row>
    <row r="27" spans="1:3">
      <c r="A27" t="s">
        <v>171</v>
      </c>
      <c r="B27" t="s">
        <v>172</v>
      </c>
      <c r="C27" t="s">
        <v>165</v>
      </c>
    </row>
    <row r="28" spans="1:3">
      <c r="A28" t="s">
        <v>309</v>
      </c>
      <c r="B28" t="s">
        <v>310</v>
      </c>
      <c r="C28" t="s">
        <v>311</v>
      </c>
    </row>
    <row r="29" spans="1:3">
      <c r="A29" t="s">
        <v>320</v>
      </c>
      <c r="B29" t="s">
        <v>321</v>
      </c>
      <c r="C29" t="s">
        <v>731</v>
      </c>
    </row>
    <row r="30" spans="1:3">
      <c r="A30" t="s">
        <v>344</v>
      </c>
      <c r="B30" t="s">
        <v>345</v>
      </c>
      <c r="C30" t="s">
        <v>343</v>
      </c>
    </row>
    <row r="31" spans="1:3">
      <c r="A31" t="s">
        <v>339</v>
      </c>
      <c r="B31" t="s">
        <v>340</v>
      </c>
      <c r="C31" t="s">
        <v>158</v>
      </c>
    </row>
    <row r="32" spans="1:3">
      <c r="A32" t="s">
        <v>341</v>
      </c>
      <c r="B32" t="s">
        <v>342</v>
      </c>
      <c r="C32" t="s">
        <v>343</v>
      </c>
    </row>
    <row r="33" spans="1:3">
      <c r="A33" t="s">
        <v>346</v>
      </c>
      <c r="B33" t="s">
        <v>347</v>
      </c>
      <c r="C33" t="s">
        <v>104</v>
      </c>
    </row>
    <row r="34" spans="1:3">
      <c r="A34" t="s">
        <v>316</v>
      </c>
      <c r="B34" t="s">
        <v>317</v>
      </c>
      <c r="C34" t="s">
        <v>115</v>
      </c>
    </row>
    <row r="35" spans="1:3">
      <c r="A35" t="s">
        <v>318</v>
      </c>
      <c r="B35" t="s">
        <v>319</v>
      </c>
      <c r="C35" t="s">
        <v>298</v>
      </c>
    </row>
    <row r="36" spans="1:3">
      <c r="A36" t="s">
        <v>299</v>
      </c>
      <c r="B36" t="s">
        <v>300</v>
      </c>
      <c r="C36" t="s">
        <v>125</v>
      </c>
    </row>
    <row r="37" spans="1:3">
      <c r="A37" t="s">
        <v>363</v>
      </c>
      <c r="B37" t="s">
        <v>364</v>
      </c>
      <c r="C37" t="s">
        <v>365</v>
      </c>
    </row>
    <row r="38" spans="1:3">
      <c r="A38" t="s">
        <v>303</v>
      </c>
      <c r="B38" t="s">
        <v>304</v>
      </c>
      <c r="C38" t="s">
        <v>104</v>
      </c>
    </row>
    <row r="39" spans="1:3">
      <c r="A39" t="s">
        <v>305</v>
      </c>
      <c r="B39" t="s">
        <v>306</v>
      </c>
      <c r="C39" t="s">
        <v>191</v>
      </c>
    </row>
    <row r="40" spans="1:3">
      <c r="A40" t="s">
        <v>301</v>
      </c>
      <c r="B40" t="s">
        <v>302</v>
      </c>
      <c r="C40" t="s">
        <v>144</v>
      </c>
    </row>
    <row r="41" spans="1:3">
      <c r="A41" t="s">
        <v>356</v>
      </c>
      <c r="B41" t="s">
        <v>357</v>
      </c>
      <c r="C41" t="s">
        <v>215</v>
      </c>
    </row>
    <row r="42" spans="1:3">
      <c r="A42" t="s">
        <v>335</v>
      </c>
      <c r="B42" t="s">
        <v>336</v>
      </c>
      <c r="C42" t="s">
        <v>215</v>
      </c>
    </row>
    <row r="43" spans="1:3">
      <c r="A43" t="s">
        <v>337</v>
      </c>
      <c r="B43" t="s">
        <v>338</v>
      </c>
      <c r="C43" t="s">
        <v>717</v>
      </c>
    </row>
    <row r="44" spans="1:3">
      <c r="A44" t="s">
        <v>324</v>
      </c>
      <c r="B44" t="s">
        <v>325</v>
      </c>
      <c r="C44" t="s">
        <v>104</v>
      </c>
    </row>
    <row r="45" spans="1:3">
      <c r="A45" t="s">
        <v>326</v>
      </c>
      <c r="B45" t="s">
        <v>327</v>
      </c>
      <c r="C45" t="s">
        <v>294</v>
      </c>
    </row>
    <row r="46" spans="1:3">
      <c r="A46" t="s">
        <v>183</v>
      </c>
      <c r="B46" t="s">
        <v>184</v>
      </c>
      <c r="C46" t="s">
        <v>115</v>
      </c>
    </row>
    <row r="47" spans="1:3">
      <c r="A47" t="s">
        <v>173</v>
      </c>
      <c r="B47" t="s">
        <v>174</v>
      </c>
      <c r="C47" t="s">
        <v>717</v>
      </c>
    </row>
    <row r="48" spans="1:3">
      <c r="A48" t="s">
        <v>192</v>
      </c>
      <c r="B48" t="s">
        <v>193</v>
      </c>
      <c r="C48" t="s">
        <v>717</v>
      </c>
    </row>
    <row r="49" spans="1:3">
      <c r="A49" t="s">
        <v>322</v>
      </c>
      <c r="B49" t="s">
        <v>323</v>
      </c>
      <c r="C49" t="s">
        <v>732</v>
      </c>
    </row>
    <row r="50" spans="1:3">
      <c r="A50" t="s">
        <v>187</v>
      </c>
      <c r="B50" t="s">
        <v>188</v>
      </c>
      <c r="C50" t="s">
        <v>731</v>
      </c>
    </row>
    <row r="51" spans="1:3">
      <c r="A51" t="s">
        <v>179</v>
      </c>
      <c r="B51" t="s">
        <v>180</v>
      </c>
      <c r="C51" t="s">
        <v>133</v>
      </c>
    </row>
    <row r="52" spans="1:3">
      <c r="A52" t="s">
        <v>360</v>
      </c>
      <c r="B52" t="s">
        <v>361</v>
      </c>
      <c r="C52" t="s">
        <v>362</v>
      </c>
    </row>
    <row r="53" spans="1:3">
      <c r="A53" t="s">
        <v>185</v>
      </c>
      <c r="B53" t="s">
        <v>186</v>
      </c>
      <c r="C53" t="s">
        <v>136</v>
      </c>
    </row>
    <row r="54" spans="1:3">
      <c r="A54" t="s">
        <v>307</v>
      </c>
      <c r="B54" t="s">
        <v>308</v>
      </c>
      <c r="C54" t="s">
        <v>717</v>
      </c>
    </row>
    <row r="55" spans="1:3">
      <c r="A55" t="s">
        <v>314</v>
      </c>
      <c r="B55" t="s">
        <v>315</v>
      </c>
      <c r="C55" t="s">
        <v>733</v>
      </c>
    </row>
    <row r="56" spans="1:3">
      <c r="A56" t="s">
        <v>312</v>
      </c>
      <c r="B56" t="s">
        <v>313</v>
      </c>
      <c r="C56" t="s">
        <v>104</v>
      </c>
    </row>
    <row r="57" spans="1:3">
      <c r="A57" t="s">
        <v>352</v>
      </c>
      <c r="B57" t="s">
        <v>353</v>
      </c>
      <c r="C57" t="s">
        <v>136</v>
      </c>
    </row>
    <row r="58" spans="1:3">
      <c r="A58" t="s">
        <v>348</v>
      </c>
      <c r="B58" t="s">
        <v>349</v>
      </c>
      <c r="C58" t="s">
        <v>157</v>
      </c>
    </row>
    <row r="59" spans="1:3">
      <c r="A59" t="s">
        <v>350</v>
      </c>
      <c r="B59" t="s">
        <v>351</v>
      </c>
      <c r="C59" t="s">
        <v>126</v>
      </c>
    </row>
    <row r="60" spans="1:3">
      <c r="A60" t="s">
        <v>354</v>
      </c>
      <c r="B60" t="s">
        <v>355</v>
      </c>
      <c r="C60" t="s">
        <v>732</v>
      </c>
    </row>
    <row r="61" spans="1:3">
      <c r="A61" t="s">
        <v>330</v>
      </c>
      <c r="B61" t="s">
        <v>331</v>
      </c>
      <c r="C61" t="s">
        <v>332</v>
      </c>
    </row>
    <row r="62" spans="1:3">
      <c r="A62" t="s">
        <v>333</v>
      </c>
      <c r="B62" t="s">
        <v>334</v>
      </c>
      <c r="C62" t="s">
        <v>140</v>
      </c>
    </row>
    <row r="63" spans="1:3">
      <c r="A63" t="s">
        <v>175</v>
      </c>
      <c r="B63" t="s">
        <v>176</v>
      </c>
      <c r="C63" t="s">
        <v>717</v>
      </c>
    </row>
    <row r="64" spans="1:3">
      <c r="A64" t="s">
        <v>358</v>
      </c>
      <c r="B64" t="s">
        <v>359</v>
      </c>
      <c r="C64" t="s">
        <v>704</v>
      </c>
    </row>
    <row r="65" spans="1:3">
      <c r="A65" t="s">
        <v>234</v>
      </c>
      <c r="B65" t="s">
        <v>235</v>
      </c>
      <c r="C65" t="s">
        <v>370</v>
      </c>
    </row>
    <row r="66" spans="1:3">
      <c r="A66" t="s">
        <v>213</v>
      </c>
      <c r="B66" t="s">
        <v>214</v>
      </c>
      <c r="C66" t="s">
        <v>115</v>
      </c>
    </row>
    <row r="67" spans="1:3">
      <c r="A67" t="s">
        <v>222</v>
      </c>
      <c r="B67" t="s">
        <v>223</v>
      </c>
      <c r="C67" t="s">
        <v>144</v>
      </c>
    </row>
    <row r="68" spans="1:3">
      <c r="A68" t="s">
        <v>292</v>
      </c>
      <c r="B68" t="s">
        <v>293</v>
      </c>
      <c r="C68" t="s">
        <v>144</v>
      </c>
    </row>
    <row r="69" spans="1:3">
      <c r="A69" t="s">
        <v>201</v>
      </c>
      <c r="B69" t="s">
        <v>202</v>
      </c>
      <c r="C69" t="s">
        <v>731</v>
      </c>
    </row>
    <row r="70" spans="1:3">
      <c r="A70" t="s">
        <v>209</v>
      </c>
      <c r="B70" t="s">
        <v>210</v>
      </c>
      <c r="C70" t="s">
        <v>133</v>
      </c>
    </row>
    <row r="71" spans="1:3">
      <c r="A71" t="s">
        <v>203</v>
      </c>
      <c r="B71" t="s">
        <v>204</v>
      </c>
      <c r="C71" t="s">
        <v>732</v>
      </c>
    </row>
    <row r="72" spans="1:3">
      <c r="A72" t="s">
        <v>216</v>
      </c>
      <c r="B72" t="s">
        <v>217</v>
      </c>
      <c r="C72" t="s">
        <v>734</v>
      </c>
    </row>
    <row r="73" spans="1:3">
      <c r="A73" t="s">
        <v>211</v>
      </c>
      <c r="B73" t="s">
        <v>212</v>
      </c>
      <c r="C73" t="s">
        <v>136</v>
      </c>
    </row>
    <row r="74" spans="1:3">
      <c r="A74" t="s">
        <v>189</v>
      </c>
      <c r="B74" t="s">
        <v>190</v>
      </c>
      <c r="C74" t="s">
        <v>136</v>
      </c>
    </row>
    <row r="75" spans="1:3">
      <c r="A75" t="s">
        <v>226</v>
      </c>
      <c r="B75" t="s">
        <v>227</v>
      </c>
      <c r="C75" t="s">
        <v>291</v>
      </c>
    </row>
    <row r="76" spans="1:3">
      <c r="A76" t="s">
        <v>152</v>
      </c>
      <c r="B76" t="s">
        <v>153</v>
      </c>
      <c r="C76" t="s">
        <v>735</v>
      </c>
    </row>
    <row r="77" spans="1:3">
      <c r="A77" t="s">
        <v>295</v>
      </c>
      <c r="B77" t="s">
        <v>296</v>
      </c>
      <c r="C77" t="s">
        <v>297</v>
      </c>
    </row>
    <row r="78" spans="1:3">
      <c r="A78" t="s">
        <v>130</v>
      </c>
      <c r="B78" t="s">
        <v>131</v>
      </c>
      <c r="C78" t="s">
        <v>132</v>
      </c>
    </row>
    <row r="79" spans="1:3">
      <c r="A79" t="s">
        <v>145</v>
      </c>
      <c r="B79" t="s">
        <v>146</v>
      </c>
      <c r="C79" t="s">
        <v>717</v>
      </c>
    </row>
    <row r="80" spans="1:3">
      <c r="A80" t="s">
        <v>280</v>
      </c>
      <c r="B80" t="s">
        <v>281</v>
      </c>
      <c r="C80" t="s">
        <v>282</v>
      </c>
    </row>
    <row r="81" spans="1:3">
      <c r="A81" t="s">
        <v>149</v>
      </c>
      <c r="B81" t="s">
        <v>150</v>
      </c>
      <c r="C81" t="s">
        <v>104</v>
      </c>
    </row>
    <row r="82" spans="1:3">
      <c r="A82" t="s">
        <v>366</v>
      </c>
      <c r="B82" t="s">
        <v>367</v>
      </c>
      <c r="C82" t="s">
        <v>311</v>
      </c>
    </row>
    <row r="83" spans="1:3">
      <c r="A83" t="s">
        <v>166</v>
      </c>
      <c r="B83" t="s">
        <v>167</v>
      </c>
      <c r="C83" t="s">
        <v>283</v>
      </c>
    </row>
    <row r="84" spans="1:3">
      <c r="A84" t="s">
        <v>159</v>
      </c>
      <c r="B84" t="s">
        <v>160</v>
      </c>
      <c r="C84" t="s">
        <v>283</v>
      </c>
    </row>
    <row r="85" spans="1:3">
      <c r="A85" t="s">
        <v>368</v>
      </c>
      <c r="B85" t="s">
        <v>369</v>
      </c>
      <c r="C85" t="s">
        <v>126</v>
      </c>
    </row>
    <row r="86" spans="1:3">
      <c r="A86" t="s">
        <v>371</v>
      </c>
      <c r="B86" t="s">
        <v>372</v>
      </c>
      <c r="C86" t="s">
        <v>373</v>
      </c>
    </row>
    <row r="87" spans="1:3">
      <c r="A87" t="s">
        <v>374</v>
      </c>
      <c r="B87" t="s">
        <v>375</v>
      </c>
      <c r="C87" t="s">
        <v>283</v>
      </c>
    </row>
    <row r="88" spans="1:3">
      <c r="A88" t="s">
        <v>736</v>
      </c>
      <c r="B88" t="s">
        <v>737</v>
      </c>
      <c r="C88" t="s">
        <v>283</v>
      </c>
    </row>
  </sheetData>
  <sortState xmlns:xlrd2="http://schemas.microsoft.com/office/spreadsheetml/2017/richdata2" ref="A2:C55">
    <sortCondition ref="C1:C5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B73A-E754-4766-BBD1-BF3947DED9AB}">
  <sheetPr codeName="Munka3">
    <tabColor theme="0" tint="-0.499984740745262"/>
  </sheetPr>
  <dimension ref="A1:F24"/>
  <sheetViews>
    <sheetView workbookViewId="0">
      <selection activeCell="C5" sqref="C5"/>
    </sheetView>
  </sheetViews>
  <sheetFormatPr defaultRowHeight="13.5"/>
  <cols>
    <col min="1" max="1" width="54" customWidth="1"/>
    <col min="2" max="2" width="11" customWidth="1"/>
    <col min="3" max="3" width="23.4375" bestFit="1" customWidth="1"/>
    <col min="4" max="4" width="21.125" bestFit="1" customWidth="1"/>
    <col min="5" max="6" width="21.125" customWidth="1"/>
  </cols>
  <sheetData>
    <row r="1" spans="1:6" ht="16.149999999999999" thickBot="1">
      <c r="A1" s="1" t="s">
        <v>0</v>
      </c>
      <c r="B1" s="1" t="s">
        <v>1</v>
      </c>
      <c r="C1" s="1" t="s">
        <v>48</v>
      </c>
      <c r="D1" s="1" t="s">
        <v>49</v>
      </c>
      <c r="E1" s="1" t="s">
        <v>85</v>
      </c>
      <c r="F1" s="1" t="s">
        <v>91</v>
      </c>
    </row>
    <row r="2" spans="1:6">
      <c r="A2" t="s">
        <v>38</v>
      </c>
      <c r="B2" t="s">
        <v>39</v>
      </c>
      <c r="C2" t="s">
        <v>53</v>
      </c>
      <c r="D2" t="s">
        <v>52</v>
      </c>
      <c r="E2" t="s">
        <v>86</v>
      </c>
      <c r="F2" t="s">
        <v>88</v>
      </c>
    </row>
    <row r="3" spans="1:6">
      <c r="A3" t="s">
        <v>20</v>
      </c>
      <c r="B3" t="s">
        <v>21</v>
      </c>
    </row>
    <row r="4" spans="1:6">
      <c r="A4" t="s">
        <v>24</v>
      </c>
      <c r="B4" t="s">
        <v>25</v>
      </c>
    </row>
    <row r="5" spans="1:6">
      <c r="A5" t="s">
        <v>22</v>
      </c>
      <c r="B5" t="s">
        <v>23</v>
      </c>
    </row>
    <row r="6" spans="1:6">
      <c r="A6" t="s">
        <v>44</v>
      </c>
      <c r="B6" t="s">
        <v>45</v>
      </c>
      <c r="C6" t="s">
        <v>53</v>
      </c>
      <c r="D6" t="s">
        <v>50</v>
      </c>
      <c r="E6" t="s">
        <v>86</v>
      </c>
      <c r="F6" t="s">
        <v>89</v>
      </c>
    </row>
    <row r="7" spans="1:6">
      <c r="A7" t="s">
        <v>42</v>
      </c>
      <c r="B7" t="s">
        <v>43</v>
      </c>
      <c r="C7" t="s">
        <v>53</v>
      </c>
      <c r="D7" t="s">
        <v>51</v>
      </c>
      <c r="E7" t="s">
        <v>86</v>
      </c>
      <c r="F7" t="s">
        <v>88</v>
      </c>
    </row>
    <row r="8" spans="1:6">
      <c r="A8" t="s">
        <v>46</v>
      </c>
      <c r="B8" t="s">
        <v>47</v>
      </c>
      <c r="C8" t="s">
        <v>53</v>
      </c>
      <c r="D8" t="s">
        <v>50</v>
      </c>
      <c r="E8" t="s">
        <v>86</v>
      </c>
      <c r="F8" t="s">
        <v>89</v>
      </c>
    </row>
    <row r="9" spans="1:6">
      <c r="A9" t="s">
        <v>40</v>
      </c>
      <c r="B9" t="s">
        <v>41</v>
      </c>
      <c r="C9" t="s">
        <v>53</v>
      </c>
      <c r="D9" t="s">
        <v>51</v>
      </c>
      <c r="E9" t="s">
        <v>86</v>
      </c>
      <c r="F9" t="s">
        <v>88</v>
      </c>
    </row>
    <row r="10" spans="1:6">
      <c r="A10" t="s">
        <v>16</v>
      </c>
      <c r="B10" t="s">
        <v>17</v>
      </c>
    </row>
    <row r="11" spans="1:6">
      <c r="A11" t="s">
        <v>18</v>
      </c>
      <c r="B11" t="s">
        <v>19</v>
      </c>
      <c r="C11" t="s">
        <v>92</v>
      </c>
      <c r="D11" t="s">
        <v>52</v>
      </c>
      <c r="E11" t="s">
        <v>87</v>
      </c>
      <c r="F11" t="s">
        <v>90</v>
      </c>
    </row>
    <row r="12" spans="1:6">
      <c r="A12" t="s">
        <v>36</v>
      </c>
      <c r="B12" t="s">
        <v>37</v>
      </c>
    </row>
    <row r="13" spans="1:6">
      <c r="A13" t="s">
        <v>28</v>
      </c>
      <c r="B13" t="s">
        <v>29</v>
      </c>
    </row>
    <row r="14" spans="1:6">
      <c r="A14" t="s">
        <v>26</v>
      </c>
      <c r="B14" t="s">
        <v>27</v>
      </c>
    </row>
    <row r="15" spans="1:6">
      <c r="A15" t="s">
        <v>32</v>
      </c>
      <c r="B15" t="s">
        <v>33</v>
      </c>
    </row>
    <row r="16" spans="1:6">
      <c r="A16" t="s">
        <v>30</v>
      </c>
      <c r="B16" t="s">
        <v>31</v>
      </c>
    </row>
    <row r="17" spans="1:6">
      <c r="A17" t="s">
        <v>34</v>
      </c>
      <c r="B17" t="s">
        <v>35</v>
      </c>
    </row>
    <row r="18" spans="1:6">
      <c r="A18" t="s">
        <v>2</v>
      </c>
      <c r="B18" t="s">
        <v>3</v>
      </c>
    </row>
    <row r="19" spans="1:6">
      <c r="A19" t="s">
        <v>6</v>
      </c>
      <c r="B19" t="s">
        <v>7</v>
      </c>
    </row>
    <row r="20" spans="1:6">
      <c r="A20" t="s">
        <v>12</v>
      </c>
      <c r="B20" t="s">
        <v>13</v>
      </c>
      <c r="C20" t="s">
        <v>92</v>
      </c>
      <c r="D20" t="s">
        <v>51</v>
      </c>
      <c r="E20" t="s">
        <v>87</v>
      </c>
      <c r="F20" t="s">
        <v>88</v>
      </c>
    </row>
    <row r="21" spans="1:6">
      <c r="A21" t="s">
        <v>4</v>
      </c>
      <c r="B21" t="s">
        <v>5</v>
      </c>
    </row>
    <row r="22" spans="1:6">
      <c r="A22" t="s">
        <v>10</v>
      </c>
      <c r="B22" t="s">
        <v>11</v>
      </c>
      <c r="C22" t="s">
        <v>92</v>
      </c>
      <c r="D22" t="s">
        <v>50</v>
      </c>
      <c r="E22" t="s">
        <v>87</v>
      </c>
      <c r="F22" t="s">
        <v>89</v>
      </c>
    </row>
    <row r="23" spans="1:6">
      <c r="A23" t="s">
        <v>8</v>
      </c>
      <c r="B23" t="s">
        <v>9</v>
      </c>
    </row>
    <row r="24" spans="1:6">
      <c r="A24" t="s">
        <v>14</v>
      </c>
      <c r="B24" t="s">
        <v>15</v>
      </c>
      <c r="C24" t="s">
        <v>92</v>
      </c>
      <c r="D24" t="s">
        <v>51</v>
      </c>
      <c r="E24" t="s">
        <v>87</v>
      </c>
      <c r="F24" t="s">
        <v>88</v>
      </c>
    </row>
  </sheetData>
  <sortState xmlns:xlrd2="http://schemas.microsoft.com/office/spreadsheetml/2017/richdata2" ref="A2:B24">
    <sortCondition ref="B1:B24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6021-D96B-4C67-A763-D8E26B0BBE56}">
  <sheetPr codeName="Munka5">
    <tabColor theme="0" tint="-0.499984740745262"/>
  </sheetPr>
  <dimension ref="A1:D5"/>
  <sheetViews>
    <sheetView workbookViewId="0">
      <selection activeCell="A6" sqref="A6"/>
    </sheetView>
  </sheetViews>
  <sheetFormatPr defaultRowHeight="13.5"/>
  <cols>
    <col min="1" max="2" width="21.875" customWidth="1"/>
    <col min="3" max="3" width="33.5625" customWidth="1"/>
    <col min="4" max="4" width="30.125" customWidth="1"/>
  </cols>
  <sheetData>
    <row r="1" spans="1:4" s="2" customFormat="1" ht="13.9">
      <c r="A1" s="2" t="s">
        <v>71</v>
      </c>
      <c r="B1" s="2" t="s">
        <v>109</v>
      </c>
      <c r="C1" s="2" t="s">
        <v>72</v>
      </c>
      <c r="D1" s="2" t="s">
        <v>73</v>
      </c>
    </row>
    <row r="2" spans="1:4">
      <c r="A2" t="s">
        <v>82</v>
      </c>
      <c r="B2">
        <v>0</v>
      </c>
      <c r="C2" t="s">
        <v>74</v>
      </c>
      <c r="D2" t="s">
        <v>75</v>
      </c>
    </row>
    <row r="3" spans="1:4">
      <c r="A3" t="s">
        <v>83</v>
      </c>
      <c r="B3">
        <v>1</v>
      </c>
      <c r="C3" t="s">
        <v>76</v>
      </c>
      <c r="D3" t="s">
        <v>77</v>
      </c>
    </row>
    <row r="4" spans="1:4">
      <c r="A4" t="s">
        <v>84</v>
      </c>
      <c r="B4">
        <v>1</v>
      </c>
      <c r="C4" t="s">
        <v>78</v>
      </c>
      <c r="D4" t="s">
        <v>79</v>
      </c>
    </row>
    <row r="5" spans="1:4">
      <c r="A5" t="s">
        <v>101</v>
      </c>
      <c r="B5">
        <v>1</v>
      </c>
      <c r="C5" t="s">
        <v>102</v>
      </c>
      <c r="D5" t="s">
        <v>103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Útmutató</vt:lpstr>
      <vt:lpstr>GeneráltHallgatóiLista</vt:lpstr>
      <vt:lpstr>StudentsWithoutAutPortalEntry</vt:lpstr>
      <vt:lpstr>Tantárgyi adatok</vt:lpstr>
      <vt:lpstr>TemplatesAndFiles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Csorba Kristóf</dc:creator>
  <cp:lastModifiedBy>Csorba Kristóf</cp:lastModifiedBy>
  <dcterms:created xsi:type="dcterms:W3CDTF">2025-09-26T08:13:19Z</dcterms:created>
  <dcterms:modified xsi:type="dcterms:W3CDTF">2026-05-12T07:19:30Z</dcterms:modified>
</cp:coreProperties>
</file>