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_learning_ai\AUT_KiirasEsBiralatiSablonGeneralo\"/>
    </mc:Choice>
  </mc:AlternateContent>
  <xr:revisionPtr revIDLastSave="0" documentId="13_ncr:1_{8C8206E6-22EF-464F-BBCD-9B40E547B510}" xr6:coauthVersionLast="47" xr6:coauthVersionMax="47" xr10:uidLastSave="{00000000-0000-0000-0000-000000000000}"/>
  <bookViews>
    <workbookView xWindow="-120" yWindow="-120" windowWidth="29040" windowHeight="15840" activeTab="1" xr2:uid="{1DD76C52-3F59-4F1E-B750-DCFFDBCB0331}"/>
  </bookViews>
  <sheets>
    <sheet name="Útmutató" sheetId="1" r:id="rId1"/>
    <sheet name="GeneráltHallgatóiLista" sheetId="3" r:id="rId2"/>
    <sheet name="Tantárgyi adatok" sheetId="2" r:id="rId3"/>
    <sheet name="Beállítások" sheetId="4" r:id="rId4"/>
    <sheet name="TemplatesAndFiles" sheetId="6" r:id="rId5"/>
    <sheet name="temp_cimek_import" sheetId="5" r:id="rId6"/>
  </sheets>
  <definedNames>
    <definedName name="_xleta.VLOOKUP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6" i="3" l="1"/>
  <c r="D126" i="3"/>
  <c r="H125" i="3"/>
  <c r="D125" i="3"/>
  <c r="H124" i="3"/>
  <c r="D124" i="3"/>
  <c r="H123" i="3"/>
  <c r="D123" i="3"/>
  <c r="H122" i="3"/>
  <c r="D122" i="3"/>
  <c r="H121" i="3"/>
  <c r="D121" i="3"/>
  <c r="H120" i="3"/>
  <c r="D120" i="3"/>
  <c r="H119" i="3"/>
  <c r="D119" i="3"/>
  <c r="H118" i="3"/>
  <c r="D118" i="3"/>
  <c r="H117" i="3"/>
  <c r="D117" i="3"/>
  <c r="H116" i="3"/>
  <c r="D116" i="3"/>
  <c r="H115" i="3"/>
  <c r="D115" i="3"/>
  <c r="H114" i="3"/>
  <c r="D114" i="3"/>
  <c r="H113" i="3"/>
  <c r="D113" i="3"/>
  <c r="H112" i="3"/>
  <c r="D112" i="3"/>
  <c r="H111" i="3"/>
  <c r="D111" i="3"/>
  <c r="H110" i="3"/>
  <c r="D110" i="3"/>
  <c r="H109" i="3"/>
  <c r="D109" i="3"/>
  <c r="H108" i="3"/>
  <c r="D108" i="3"/>
  <c r="H107" i="3"/>
  <c r="D107" i="3"/>
  <c r="H106" i="3"/>
  <c r="D106" i="3"/>
  <c r="H105" i="3"/>
  <c r="D105" i="3"/>
  <c r="H104" i="3"/>
  <c r="D104" i="3"/>
  <c r="H103" i="3"/>
  <c r="D103" i="3"/>
  <c r="H102" i="3"/>
  <c r="D102" i="3"/>
  <c r="H101" i="3"/>
  <c r="D101" i="3"/>
  <c r="H100" i="3"/>
  <c r="D100" i="3"/>
  <c r="H99" i="3"/>
  <c r="D99" i="3"/>
  <c r="H98" i="3"/>
  <c r="D98" i="3"/>
  <c r="H97" i="3"/>
  <c r="D97" i="3"/>
  <c r="H96" i="3"/>
  <c r="D96" i="3"/>
  <c r="H95" i="3"/>
  <c r="D95" i="3"/>
  <c r="H94" i="3"/>
  <c r="D94" i="3"/>
  <c r="H93" i="3"/>
  <c r="D93" i="3"/>
  <c r="H92" i="3"/>
  <c r="D92" i="3"/>
  <c r="H91" i="3"/>
  <c r="D91" i="3"/>
  <c r="H90" i="3"/>
  <c r="D90" i="3"/>
  <c r="H89" i="3"/>
  <c r="D89" i="3"/>
  <c r="H88" i="3"/>
  <c r="D88" i="3"/>
  <c r="H87" i="3"/>
  <c r="D87" i="3"/>
  <c r="H86" i="3"/>
  <c r="D86" i="3"/>
  <c r="H85" i="3"/>
  <c r="D85" i="3"/>
  <c r="H84" i="3"/>
  <c r="D84" i="3"/>
  <c r="H83" i="3"/>
  <c r="D83" i="3"/>
  <c r="H82" i="3"/>
  <c r="D82" i="3"/>
  <c r="H81" i="3"/>
  <c r="D81" i="3"/>
  <c r="H80" i="3"/>
  <c r="D80" i="3"/>
  <c r="H79" i="3"/>
  <c r="D79" i="3"/>
  <c r="H78" i="3"/>
  <c r="D78" i="3"/>
  <c r="H77" i="3"/>
  <c r="D77" i="3"/>
  <c r="H76" i="3"/>
  <c r="D76" i="3"/>
  <c r="H75" i="3"/>
  <c r="D75" i="3"/>
  <c r="H74" i="3"/>
  <c r="D74" i="3"/>
  <c r="H73" i="3"/>
  <c r="D73" i="3"/>
  <c r="H72" i="3"/>
  <c r="D72" i="3"/>
  <c r="H71" i="3"/>
  <c r="D71" i="3"/>
  <c r="H70" i="3"/>
  <c r="D70" i="3"/>
  <c r="H69" i="3"/>
  <c r="D69" i="3"/>
  <c r="H68" i="3"/>
  <c r="D68" i="3"/>
  <c r="H67" i="3"/>
  <c r="D67" i="3"/>
  <c r="H66" i="3"/>
  <c r="D66" i="3"/>
  <c r="H65" i="3"/>
  <c r="D65" i="3"/>
  <c r="H64" i="3"/>
  <c r="D64" i="3"/>
  <c r="H63" i="3"/>
  <c r="D63" i="3"/>
  <c r="H62" i="3"/>
  <c r="D62" i="3"/>
  <c r="H61" i="3"/>
  <c r="D61" i="3"/>
  <c r="H60" i="3"/>
  <c r="D60" i="3"/>
  <c r="H59" i="3"/>
  <c r="D59" i="3"/>
  <c r="H58" i="3"/>
  <c r="D58" i="3"/>
  <c r="H57" i="3"/>
  <c r="D57" i="3"/>
  <c r="H56" i="3"/>
  <c r="D56" i="3"/>
  <c r="H55" i="3"/>
  <c r="D55" i="3"/>
  <c r="H54" i="3"/>
  <c r="D54" i="3"/>
  <c r="H53" i="3"/>
  <c r="D53" i="3"/>
  <c r="H52" i="3"/>
  <c r="D52" i="3"/>
  <c r="H51" i="3"/>
  <c r="D51" i="3"/>
  <c r="H50" i="3"/>
  <c r="D50" i="3"/>
  <c r="H49" i="3"/>
  <c r="D49" i="3"/>
  <c r="H48" i="3"/>
  <c r="D48" i="3"/>
  <c r="H47" i="3"/>
  <c r="D47" i="3"/>
  <c r="H46" i="3"/>
  <c r="D46" i="3"/>
  <c r="H45" i="3"/>
  <c r="D45" i="3"/>
  <c r="H44" i="3"/>
  <c r="D44" i="3"/>
  <c r="H43" i="3"/>
  <c r="D43" i="3"/>
  <c r="H42" i="3"/>
  <c r="D42" i="3"/>
  <c r="H41" i="3"/>
  <c r="D41" i="3"/>
  <c r="H40" i="3"/>
  <c r="D40" i="3"/>
  <c r="H39" i="3"/>
  <c r="D39" i="3"/>
  <c r="H38" i="3"/>
  <c r="D38" i="3"/>
  <c r="H37" i="3"/>
  <c r="D37" i="3"/>
  <c r="H36" i="3"/>
  <c r="D36" i="3"/>
  <c r="H35" i="3"/>
  <c r="D35" i="3"/>
  <c r="H34" i="3"/>
  <c r="D34" i="3"/>
  <c r="H33" i="3"/>
  <c r="D33" i="3"/>
  <c r="H32" i="3"/>
  <c r="D32" i="3"/>
  <c r="H31" i="3"/>
  <c r="D31" i="3"/>
  <c r="H30" i="3"/>
  <c r="D30" i="3"/>
  <c r="H29" i="3"/>
  <c r="D29" i="3"/>
  <c r="H28" i="3"/>
  <c r="D28" i="3"/>
  <c r="H27" i="3"/>
  <c r="D27" i="3"/>
  <c r="H26" i="3"/>
  <c r="D26" i="3"/>
  <c r="H25" i="3"/>
  <c r="D25" i="3"/>
  <c r="H24" i="3"/>
  <c r="D24" i="3"/>
  <c r="H23" i="3"/>
  <c r="D23" i="3"/>
  <c r="H22" i="3"/>
  <c r="D22" i="3"/>
  <c r="H21" i="3"/>
  <c r="D21" i="3"/>
  <c r="H20" i="3"/>
  <c r="D20" i="3"/>
  <c r="H19" i="3"/>
  <c r="D19" i="3"/>
  <c r="H18" i="3"/>
  <c r="D18" i="3"/>
  <c r="H17" i="3"/>
  <c r="D17" i="3"/>
  <c r="H16" i="3"/>
  <c r="D16" i="3"/>
  <c r="H15" i="3"/>
  <c r="D15" i="3"/>
  <c r="H14" i="3"/>
  <c r="D14" i="3"/>
  <c r="H13" i="3"/>
  <c r="D13" i="3"/>
  <c r="H12" i="3"/>
  <c r="D12" i="3"/>
  <c r="H11" i="3"/>
  <c r="D11" i="3"/>
  <c r="H10" i="3"/>
  <c r="D10" i="3"/>
  <c r="H9" i="3"/>
  <c r="D9" i="3"/>
  <c r="H8" i="3"/>
  <c r="D8" i="3"/>
  <c r="H7" i="3"/>
  <c r="D7" i="3"/>
  <c r="H6" i="3"/>
  <c r="D6" i="3"/>
  <c r="H5" i="3"/>
  <c r="D5" i="3"/>
  <c r="H4" i="3"/>
  <c r="D4" i="3"/>
  <c r="H3" i="3"/>
  <c r="D3" i="3"/>
  <c r="H2" i="3"/>
  <c r="D2" i="3"/>
</calcChain>
</file>

<file path=xl/sharedStrings.xml><?xml version="1.0" encoding="utf-8"?>
<sst xmlns="http://schemas.openxmlformats.org/spreadsheetml/2006/main" count="977" uniqueCount="608">
  <si>
    <t>Tárgy</t>
  </si>
  <si>
    <t>Tárgy nept</t>
  </si>
  <si>
    <t>Diplomatervezés 1 (MSc, Info, 2022-ig felvettek)</t>
  </si>
  <si>
    <t>VIAUMT00</t>
  </si>
  <si>
    <t>Diplomatervezés 1 (MSc, Info, 2023-tól felvettek)</t>
  </si>
  <si>
    <t>VIAUMT10</t>
  </si>
  <si>
    <t>Diplomatervezés 1 (MSc, Vill, 2022-ig felvettek)</t>
  </si>
  <si>
    <t>VIAUMT02</t>
  </si>
  <si>
    <t>Diplomatervezés 1 (MSc, Vill, 2023-tól felvettek)</t>
  </si>
  <si>
    <t>VIAUMT12</t>
  </si>
  <si>
    <t>Diplomatervezés 2 (MSc, Info, 2023-tól felvettek)</t>
  </si>
  <si>
    <t>VIAUMT11</t>
  </si>
  <si>
    <t>Diplomatervezés 2 (MSc, Vill, 2022-ig felvettek)</t>
  </si>
  <si>
    <t>VIAUMT03</t>
  </si>
  <si>
    <t>Diplomatervezés 2 (MSc, Vill, 2023-tól felvettek)</t>
  </si>
  <si>
    <t>VIAUMT13</t>
  </si>
  <si>
    <t>Diplomatervezés A</t>
  </si>
  <si>
    <t>VIAUM026</t>
  </si>
  <si>
    <t>Diplomatervezés B</t>
  </si>
  <si>
    <t>VIAUM027</t>
  </si>
  <si>
    <t>Önálló laboratórium (BSc, Info, 2021-ig felvettek)</t>
  </si>
  <si>
    <t>VIAUAL01</t>
  </si>
  <si>
    <t>Önálló laboratórium (BSc, Info, 2022-től felvettek)</t>
  </si>
  <si>
    <t>VIAUAL04</t>
  </si>
  <si>
    <t>Önálló laboratórium (BSc, Vill, 2021-ig felvettek)</t>
  </si>
  <si>
    <t>VIAUAL03</t>
  </si>
  <si>
    <t>Önálló laboratórium 1 (MSc, Info, 2023-tól felvettek)</t>
  </si>
  <si>
    <t>VIAUML10</t>
  </si>
  <si>
    <t>Önálló laboratórium 1 (MSc, Vill, 2022-ig felvettek)</t>
  </si>
  <si>
    <t>VIAUML02</t>
  </si>
  <si>
    <t>Önálló laboratórium 1 (MSc, Vill, 2023-tól felvettek)</t>
  </si>
  <si>
    <t>VIAUML12</t>
  </si>
  <si>
    <t>Önálló laboratórium 2 (MSc, Info, 2023-tól felvettek)</t>
  </si>
  <si>
    <t>VIAUML11</t>
  </si>
  <si>
    <t>Önálló laboratórium 2 (MSc, Vill, 2023-tól felvettek)</t>
  </si>
  <si>
    <t>VIAUML13</t>
  </si>
  <si>
    <t>Projektfeladat mechatronikusoknak</t>
  </si>
  <si>
    <t>VIAUM039</t>
  </si>
  <si>
    <t>Szakdolgozat készítés</t>
  </si>
  <si>
    <t>VIAUA019</t>
  </si>
  <si>
    <t>Szakdolgozat készítés (BSc Vill 2022-től felvettk)</t>
  </si>
  <si>
    <t>VIAUAT03</t>
  </si>
  <si>
    <t>Szakdolgozat készítés (BSc Vill, 2021-ig felvettek)</t>
  </si>
  <si>
    <t>VIAUAT01</t>
  </si>
  <si>
    <t>Szakdolgozat-készítés (BSc Info, 2021-ig felvettek)</t>
  </si>
  <si>
    <t>VIAUAT00</t>
  </si>
  <si>
    <t>Szakdolgozat-készítés (BSc Info, 2022-től felvettek)</t>
  </si>
  <si>
    <t>VIAUAT02</t>
  </si>
  <si>
    <t>Dolgozat megnevezése</t>
  </si>
  <si>
    <t>Szak megnevezése</t>
  </si>
  <si>
    <t>Mérnökinformatikus</t>
  </si>
  <si>
    <t>Villamosmérnök</t>
  </si>
  <si>
    <t>Mechatronikai mérnök</t>
  </si>
  <si>
    <t>Szakdolgozat</t>
  </si>
  <si>
    <t>Diplomatervezési</t>
  </si>
  <si>
    <t>Neptun kód</t>
  </si>
  <si>
    <t>Hallgató neve</t>
  </si>
  <si>
    <t>Tárgykód</t>
  </si>
  <si>
    <t>Konzulens neve</t>
  </si>
  <si>
    <t>Lépés</t>
  </si>
  <si>
    <t>Makró</t>
  </si>
  <si>
    <t>Hotkey</t>
  </si>
  <si>
    <t>Leírás</t>
  </si>
  <si>
    <t>CollectStudents</t>
  </si>
  <si>
    <t>Ctrl-Shift-C</t>
  </si>
  <si>
    <t>Ctrl-Shift-G</t>
  </si>
  <si>
    <t>GenerateTaskDescriptions</t>
  </si>
  <si>
    <t>A Terheles… xlsx alapján feltölti a GeneráltHallgatóiLista worksheetet</t>
  </si>
  <si>
    <t>Legenerálja a feladatkiírásokat a sablon alapján</t>
  </si>
  <si>
    <t>Még hasznos lehet a zipTaskDescriptions.ps1, mely konzulensenként zippeli be a kiírásokat.</t>
  </si>
  <si>
    <t>Dolgozat címe magyarul</t>
  </si>
  <si>
    <t>Dolgozat címe angolul</t>
  </si>
  <si>
    <t>Bírálat nyelve</t>
  </si>
  <si>
    <t>Kimeneti fájl sablon</t>
  </si>
  <si>
    <t>Magyar sablon</t>
  </si>
  <si>
    <t>Angol sablon</t>
  </si>
  <si>
    <t>name_task.docs</t>
  </si>
  <si>
    <t>name_review.docs</t>
  </si>
  <si>
    <t>name_grade.docs</t>
  </si>
  <si>
    <t>template_task_hu.docx</t>
  </si>
  <si>
    <t>template_task_en.docx</t>
  </si>
  <si>
    <t>template_review_hu.docx</t>
  </si>
  <si>
    <t>template_review_en.docx</t>
  </si>
  <si>
    <t>template_grade_hu.docx</t>
  </si>
  <si>
    <t>template_grade_en.docx</t>
  </si>
  <si>
    <t>Kővári Bence Dr.</t>
  </si>
  <si>
    <t>Szvétek-Müller András Zsolt</t>
  </si>
  <si>
    <t>JNDSHB</t>
  </si>
  <si>
    <t>Németh Gergő Olivér</t>
  </si>
  <si>
    <t>PIBK75</t>
  </si>
  <si>
    <t>Ekler Péter Dr.</t>
  </si>
  <si>
    <t>Vajda András</t>
  </si>
  <si>
    <t>M7LWCB</t>
  </si>
  <si>
    <t>Albert István</t>
  </si>
  <si>
    <t>Sitkéry Iván</t>
  </si>
  <si>
    <t>B8V41Y</t>
  </si>
  <si>
    <t>Forstner Bertalan Dr.</t>
  </si>
  <si>
    <t>Balla Péter Keve</t>
  </si>
  <si>
    <t>BE1L51</t>
  </si>
  <si>
    <t>Al-Magsoosi Husam Dr.</t>
  </si>
  <si>
    <t>Wáger Réka</t>
  </si>
  <si>
    <t>CGUOR8</t>
  </si>
  <si>
    <t>Dhouioui Oussama</t>
  </si>
  <si>
    <t>XFCBM7</t>
  </si>
  <si>
    <t>Mrad Mohamed Azouz</t>
  </si>
  <si>
    <t>Mohammed Rasti Jamal Mohammed</t>
  </si>
  <si>
    <t>BDJV6G</t>
  </si>
  <si>
    <t>Kovács Virág Noémi</t>
  </si>
  <si>
    <t>J178IN</t>
  </si>
  <si>
    <t>Imre Gábor</t>
  </si>
  <si>
    <t>Steltzer Soma</t>
  </si>
  <si>
    <t>Y2K0WG</t>
  </si>
  <si>
    <t>Szekeres Kornél</t>
  </si>
  <si>
    <t>Barna Ferenc</t>
  </si>
  <si>
    <t>Y98NYK</t>
  </si>
  <si>
    <t>Pomázi Krisztián</t>
  </si>
  <si>
    <t>Csikós Patrik</t>
  </si>
  <si>
    <t>E4MZUV</t>
  </si>
  <si>
    <t>Tóth Tibor</t>
  </si>
  <si>
    <t>Wohlfart Richárd</t>
  </si>
  <si>
    <t>E06LFG</t>
  </si>
  <si>
    <t>Sziklai Dávid László</t>
  </si>
  <si>
    <t>XH1H8E</t>
  </si>
  <si>
    <t>Gincsai Gábor</t>
  </si>
  <si>
    <t>Virág Gyula</t>
  </si>
  <si>
    <t>M25FGD</t>
  </si>
  <si>
    <t>Erdei Dániel Patrik</t>
  </si>
  <si>
    <t>BAVX18</t>
  </si>
  <si>
    <t>Csorba Kristóf Dr.</t>
  </si>
  <si>
    <t>Sipos Levente</t>
  </si>
  <si>
    <t>NLLIEC</t>
  </si>
  <si>
    <t>Torma Szabolcs</t>
  </si>
  <si>
    <t>Kókai Roland</t>
  </si>
  <si>
    <t>DTKJYT</t>
  </si>
  <si>
    <t>Hegedüs Péter</t>
  </si>
  <si>
    <t>V8DLF6</t>
  </si>
  <si>
    <t>Mészáros Krisztina</t>
  </si>
  <si>
    <t>NQC2BA</t>
  </si>
  <si>
    <t>Somogyi Ferenc Attila Dr.</t>
  </si>
  <si>
    <t>Steffler Máté</t>
  </si>
  <si>
    <t>U945X9</t>
  </si>
  <si>
    <t>Szabó László</t>
  </si>
  <si>
    <t>ET9AUJ</t>
  </si>
  <si>
    <t>Almoghrabi Makram Issam</t>
  </si>
  <si>
    <t>X3025D</t>
  </si>
  <si>
    <t>Forgó Frigyes</t>
  </si>
  <si>
    <t>CCV5YH</t>
  </si>
  <si>
    <t>Kiss Domokos Dr.</t>
  </si>
  <si>
    <t>Sas Bence</t>
  </si>
  <si>
    <t>SQ6PNP</t>
  </si>
  <si>
    <t>Gótzy Márton</t>
  </si>
  <si>
    <t>Pete Dávid Dorián</t>
  </si>
  <si>
    <t>GVJ529</t>
  </si>
  <si>
    <t>Furmann Áron</t>
  </si>
  <si>
    <t>Nagy Katalin</t>
  </si>
  <si>
    <t>QPRZAG</t>
  </si>
  <si>
    <t>Szegletes Luca Dr.</t>
  </si>
  <si>
    <t>Bolvári Attila</t>
  </si>
  <si>
    <t>X0BDX8</t>
  </si>
  <si>
    <t>Kökényesi Tamás</t>
  </si>
  <si>
    <t>Kovács Róbert István</t>
  </si>
  <si>
    <t>RB3C44</t>
  </si>
  <si>
    <t>Kovács László</t>
  </si>
  <si>
    <t>Tabajdi Máté</t>
  </si>
  <si>
    <t>JZX5Y4</t>
  </si>
  <si>
    <t>Nagy Ákos</t>
  </si>
  <si>
    <t>Blága Bence</t>
  </si>
  <si>
    <t>FC6U8I</t>
  </si>
  <si>
    <t>Bándy Kristóf Gábor Dr.</t>
  </si>
  <si>
    <t>Hugyik Kornél</t>
  </si>
  <si>
    <t>A2QDYX</t>
  </si>
  <si>
    <t>Balogh Attila Dr.</t>
  </si>
  <si>
    <t>Hideg Attila Dr.</t>
  </si>
  <si>
    <t>Szücs Cintia Lia</t>
  </si>
  <si>
    <t>Somogyi Norbert Zsolt</t>
  </si>
  <si>
    <t>Sik Dávid</t>
  </si>
  <si>
    <t>Hamar János Dr.</t>
  </si>
  <si>
    <t>Kovács Tibor Dr.</t>
  </si>
  <si>
    <t>Kövesdán Gábor</t>
  </si>
  <si>
    <t>Knyihár Gábor</t>
  </si>
  <si>
    <t>Benedek Zoltán</t>
  </si>
  <si>
    <t>Szabó Zoltán</t>
  </si>
  <si>
    <t>Veréb Szabolcs</t>
  </si>
  <si>
    <t>Kovács Viktor</t>
  </si>
  <si>
    <t>Kiss Ágoston</t>
  </si>
  <si>
    <t>Blázovics László Dr.</t>
  </si>
  <si>
    <t>Futó András Dr.</t>
  </si>
  <si>
    <t>Szabó Máté András</t>
  </si>
  <si>
    <t>O7J4JT</t>
  </si>
  <si>
    <t>Stumpf Péter</t>
  </si>
  <si>
    <t>Sándor Dániel</t>
  </si>
  <si>
    <t>I8E8B0</t>
  </si>
  <si>
    <t>Kerekes László Levente</t>
  </si>
  <si>
    <t>AMW164</t>
  </si>
  <si>
    <t>Max Gyula Dr.</t>
  </si>
  <si>
    <t>Morvay Balázs Tibor</t>
  </si>
  <si>
    <t>Oláh István</t>
  </si>
  <si>
    <t>Marsi Ádám</t>
  </si>
  <si>
    <t>FGCSU9</t>
  </si>
  <si>
    <t>Harsányi Csanád Gellért</t>
  </si>
  <si>
    <t>BY74X1</t>
  </si>
  <si>
    <t>Grozev Erik Plamenov</t>
  </si>
  <si>
    <t>BB8E0J</t>
  </si>
  <si>
    <t>Nagy Márton Gábor</t>
  </si>
  <si>
    <t>XHJJWT</t>
  </si>
  <si>
    <t>Harmat Máté</t>
  </si>
  <si>
    <t>KM05P1</t>
  </si>
  <si>
    <t>Horváth Bence Domonkos</t>
  </si>
  <si>
    <t>E6T6VY</t>
  </si>
  <si>
    <t>Horváth Ágnes</t>
  </si>
  <si>
    <t>SYI1PZ</t>
  </si>
  <si>
    <t>Pál Patrik</t>
  </si>
  <si>
    <t>AIQTQW</t>
  </si>
  <si>
    <t>Tikász Lilla Emese</t>
  </si>
  <si>
    <t>HXSSPB</t>
  </si>
  <si>
    <t>Phan Viet Dung</t>
  </si>
  <si>
    <t>KYN3Q9</t>
  </si>
  <si>
    <t>Kun László Ákos</t>
  </si>
  <si>
    <t>SL42BZ</t>
  </si>
  <si>
    <t>Szécsényi Nándor</t>
  </si>
  <si>
    <t>Vígh Soma</t>
  </si>
  <si>
    <t>OCJ2KH</t>
  </si>
  <si>
    <t>Orosz Pál György</t>
  </si>
  <si>
    <t>B83O0V</t>
  </si>
  <si>
    <t>Németh Levente Álmos</t>
  </si>
  <si>
    <t>PVIX30</t>
  </si>
  <si>
    <t>Süle Zalán Attila</t>
  </si>
  <si>
    <t>IY6CT2</t>
  </si>
  <si>
    <t>Vida András</t>
  </si>
  <si>
    <t>N3SIT4</t>
  </si>
  <si>
    <t>Bőczén Koppány András</t>
  </si>
  <si>
    <t>H1A0IA</t>
  </si>
  <si>
    <t>Mayer Dávid Gergő</t>
  </si>
  <si>
    <t>BWPAFC</t>
  </si>
  <si>
    <t>Ajkler Ákos Szabolcs</t>
  </si>
  <si>
    <t>TEUL0U</t>
  </si>
  <si>
    <t>Pászty Kristóf Áron</t>
  </si>
  <si>
    <t>LH3ASY</t>
  </si>
  <si>
    <t>Müller Péter</t>
  </si>
  <si>
    <t>TM1S67</t>
  </si>
  <si>
    <t>Szegedi Balázs Márk</t>
  </si>
  <si>
    <t>YTPENK</t>
  </si>
  <si>
    <t>Buránszki Domonkos</t>
  </si>
  <si>
    <t>CNE27B</t>
  </si>
  <si>
    <t>Prantner Zoltán</t>
  </si>
  <si>
    <t>HM9T3V</t>
  </si>
  <si>
    <t>Széll Sámuel Marcell</t>
  </si>
  <si>
    <t>BL046F</t>
  </si>
  <si>
    <t>Straub Alexander</t>
  </si>
  <si>
    <t>DINZ55</t>
  </si>
  <si>
    <t>Tamásy Gergely Márton</t>
  </si>
  <si>
    <t>G1NYGN</t>
  </si>
  <si>
    <t>Lipcsei Dániel</t>
  </si>
  <si>
    <t>H847OK</t>
  </si>
  <si>
    <t>Kovács Zsombor</t>
  </si>
  <si>
    <t>DDEZWD</t>
  </si>
  <si>
    <t>Farkas Péter Károly</t>
  </si>
  <si>
    <t>UBZN8Q</t>
  </si>
  <si>
    <t>Bayer Ákos</t>
  </si>
  <si>
    <t>U9DTUU</t>
  </si>
  <si>
    <t>Csákai Bence Huba</t>
  </si>
  <si>
    <t>Q8CHHW</t>
  </si>
  <si>
    <t>Babics Ádám</t>
  </si>
  <si>
    <t>RQR669</t>
  </si>
  <si>
    <t>Sztancs László</t>
  </si>
  <si>
    <t>LDAG8S</t>
  </si>
  <si>
    <t>Tolnai Martin</t>
  </si>
  <si>
    <t>CMX3M3</t>
  </si>
  <si>
    <t>Kovács István</t>
  </si>
  <si>
    <t>MQGC2F</t>
  </si>
  <si>
    <t>Kékegyi Márk</t>
  </si>
  <si>
    <t>CY1BLZ</t>
  </si>
  <si>
    <t>Varjasi István Dr.</t>
  </si>
  <si>
    <t>Sütő Zoltán Dr.</t>
  </si>
  <si>
    <t>Szőke Zsombor István</t>
  </si>
  <si>
    <t>N9YWA1</t>
  </si>
  <si>
    <t>Marák Levente</t>
  </si>
  <si>
    <t>K2DE0K</t>
  </si>
  <si>
    <t>Haag Domonkos</t>
  </si>
  <si>
    <t>Z4EUJV</t>
  </si>
  <si>
    <t>Jordán Levente Tibor</t>
  </si>
  <si>
    <t>ELMHX3</t>
  </si>
  <si>
    <t>Dashkin Marsel</t>
  </si>
  <si>
    <t>ROSQ9A</t>
  </si>
  <si>
    <t>Lawal Zainab Opemipo</t>
  </si>
  <si>
    <t>Q493JD</t>
  </si>
  <si>
    <t>Machado De La Torre James</t>
  </si>
  <si>
    <t>CZQAEM</t>
  </si>
  <si>
    <t>Abdalla Rahma Raef Mohamed Mohamed</t>
  </si>
  <si>
    <t>L2E9GT</t>
  </si>
  <si>
    <t>Kuti Áron</t>
  </si>
  <si>
    <t>D84PZN</t>
  </si>
  <si>
    <t>Baki Bence István</t>
  </si>
  <si>
    <t>BOIR4K</t>
  </si>
  <si>
    <t>Mészáros András</t>
  </si>
  <si>
    <t>BSBK18</t>
  </si>
  <si>
    <t>Mohácsi Ákos</t>
  </si>
  <si>
    <t>VTWDGF</t>
  </si>
  <si>
    <t>Bihercz Lóránt</t>
  </si>
  <si>
    <t>JSW8HF</t>
  </si>
  <si>
    <t>Tulok Sára</t>
  </si>
  <si>
    <t>VWNVT6</t>
  </si>
  <si>
    <t>Holló Csaba</t>
  </si>
  <si>
    <t>MSESUZ</t>
  </si>
  <si>
    <t>Mészáros Barna</t>
  </si>
  <si>
    <t>PRYJJV</t>
  </si>
  <si>
    <t>Szabó-Feltóthy Pál</t>
  </si>
  <si>
    <t>YQ9D8Q</t>
  </si>
  <si>
    <t>Gergely Mátyás</t>
  </si>
  <si>
    <t>X9VG6O</t>
  </si>
  <si>
    <t>Rácz Gabriella Fanni</t>
  </si>
  <si>
    <t>ISFP3Q</t>
  </si>
  <si>
    <t>Gyöngyösi Ákos</t>
  </si>
  <si>
    <t>B04G6C</t>
  </si>
  <si>
    <t>Csutora Lilla</t>
  </si>
  <si>
    <t>GIQBWP</t>
  </si>
  <si>
    <t>Hőgyes Krisztián</t>
  </si>
  <si>
    <t>D85S3M</t>
  </si>
  <si>
    <t>Széll Adrián Bence</t>
  </si>
  <si>
    <t>BPE3HL</t>
  </si>
  <si>
    <t>Prinz Márk</t>
  </si>
  <si>
    <t>XF7A69</t>
  </si>
  <si>
    <t>Simon Tamás Dorián</t>
  </si>
  <si>
    <t>DXD80O</t>
  </si>
  <si>
    <t>Szászvári Márton Péter</t>
  </si>
  <si>
    <t>OKR8HA</t>
  </si>
  <si>
    <t>Vörös Vencel Boldizsár</t>
  </si>
  <si>
    <t>EV68WM</t>
  </si>
  <si>
    <t>Tasi Gergő</t>
  </si>
  <si>
    <t>BRY27P</t>
  </si>
  <si>
    <t>Golyha Tamás Zsolt</t>
  </si>
  <si>
    <t>A5CS6I</t>
  </si>
  <si>
    <t>Salti Hani</t>
  </si>
  <si>
    <t>RU0BNQ</t>
  </si>
  <si>
    <t>Molnár Márk Sándor</t>
  </si>
  <si>
    <t>LNID5S</t>
  </si>
  <si>
    <t>Pásztor Dániel</t>
  </si>
  <si>
    <t>Nagy Dávid</t>
  </si>
  <si>
    <t>FLBTBB</t>
  </si>
  <si>
    <t>Rahmi Dániel</t>
  </si>
  <si>
    <t>WIFRTR</t>
  </si>
  <si>
    <t>Zolcsák Gergő</t>
  </si>
  <si>
    <t>P1CTMD</t>
  </si>
  <si>
    <t>Starosta Gergő Bence</t>
  </si>
  <si>
    <t>YJRFP9</t>
  </si>
  <si>
    <t>Bolgár Zsófia</t>
  </si>
  <si>
    <t>PETJ0Q</t>
  </si>
  <si>
    <t>Pifkó Barna</t>
  </si>
  <si>
    <t>IUBBRI</t>
  </si>
  <si>
    <t>Zalaváry Dániel</t>
  </si>
  <si>
    <t>D4006T</t>
  </si>
  <si>
    <t>Tomecz Tamás</t>
  </si>
  <si>
    <t>E3W5KR</t>
  </si>
  <si>
    <t>Taher Mured Abdulghani</t>
  </si>
  <si>
    <t>B6RXU1</t>
  </si>
  <si>
    <t>Adnan Zahraa Haider</t>
  </si>
  <si>
    <t>EVYZZM</t>
  </si>
  <si>
    <t>Mohammad Saleem Dr.</t>
  </si>
  <si>
    <t>Zhang Jinjing</t>
  </si>
  <si>
    <t>M5UG9O</t>
  </si>
  <si>
    <t>Bakos Gergő</t>
  </si>
  <si>
    <t>NID4HA</t>
  </si>
  <si>
    <t>Demény Tamás Attila</t>
  </si>
  <si>
    <t>A8LNH3</t>
  </si>
  <si>
    <t>Gibicsár Gergő</t>
  </si>
  <si>
    <t>M44MK1</t>
  </si>
  <si>
    <t>Mészáros Márk</t>
  </si>
  <si>
    <t>ER6NSU</t>
  </si>
  <si>
    <t>Spertli Krisztián</t>
  </si>
  <si>
    <t>IYX0EQ</t>
  </si>
  <si>
    <t>Szakács Olivér</t>
  </si>
  <si>
    <t>GAA9DD</t>
  </si>
  <si>
    <t>Moré Áron</t>
  </si>
  <si>
    <t>C0FUJI</t>
  </si>
  <si>
    <t>Mesterséges Intelligencia alapú generatív társasjáték fejlesztése</t>
  </si>
  <si>
    <t>Developing a Board Game Application with Generative Artificial Intelligence</t>
  </si>
  <si>
    <t>magyar</t>
  </si>
  <si>
    <t>AI alapú időjárás előrejelzés Python nyelven</t>
  </si>
  <si>
    <t>AI-Based Weather Forecasting in Python</t>
  </si>
  <si>
    <t>Megerősítéses tanulás a robotikában</t>
  </si>
  <si>
    <t>Reinforcement learning in robotics</t>
  </si>
  <si>
    <t>PediPont - Lábgyógyászati praxist támogató alkalmazás fejlesztése Android platformra</t>
  </si>
  <si>
    <t>PediPont - Development of a Podiatry Practice Supporting Application for Android Platform</t>
  </si>
  <si>
    <t>Társasjáték készítése Unity keretrendszer segítségével</t>
  </si>
  <si>
    <t>Boardgame Development Using Unity Framework</t>
  </si>
  <si>
    <t>Sport tracker alkalmazás fejlesztése Android platformra</t>
  </si>
  <si>
    <t>Development of a Sport Tracker Application for Android Platform</t>
  </si>
  <si>
    <t>AI és egyéb alrendszerek integrációja távoli elérési szoftverbe</t>
  </si>
  <si>
    <t>Integration of AI and Other Subsystems into Remote Access Software</t>
  </si>
  <si>
    <t>Betegközpontú ellátás minőségének javítását támogató SQL lekérdező rendszer kiépítése</t>
  </si>
  <si>
    <t>Building an SQL query system to support the improvement of patient-centered care quality</t>
  </si>
  <si>
    <t>Kvíz generálás szöveges dokumentumból MI segítségével</t>
  </si>
  <si>
    <t>Generating quiz from text document using AI</t>
  </si>
  <si>
    <t>D osztályú erősítő tervezése</t>
  </si>
  <si>
    <t>Class D amplifier design</t>
  </si>
  <si>
    <t>Hordozható tápegység tervezése</t>
  </si>
  <si>
    <t>Portable power supply design</t>
  </si>
  <si>
    <t>Kognitív képességeket felmérő keretrendszer Android platformon</t>
  </si>
  <si>
    <t>Framework for Measuring Cognitive Abilities on Android Platform</t>
  </si>
  <si>
    <t>Skálázható Android keretrendszer kognitív képességeket mérő játékok fejlesztéséhez</t>
  </si>
  <si>
    <t>Scalable Android Framework for Cognitive Ability Assessment Games</t>
  </si>
  <si>
    <t>Kevert Valóság Alkalmazás Fejlesztése Meta Quest eszközre</t>
  </si>
  <si>
    <t>Mixed Reality Application development on Meta Quest</t>
  </si>
  <si>
    <t>Mobilalkalmazás-fejlesztés járműves telemetria rendszerhez</t>
  </si>
  <si>
    <t>Mobile Application Development for a Vehicle Telemetry System</t>
  </si>
  <si>
    <t>Légellátó eszköz szoftverének újratervezése és bővítése</t>
  </si>
  <si>
    <t>Redesign and development of a Railway Air Supply Device software</t>
  </si>
  <si>
    <t>Vezérlő elektronika fejlesztése parkolást segítő ultrahang szenzorokhoz</t>
  </si>
  <si>
    <t>Control electronics development for ultrasonic parking sensors</t>
  </si>
  <si>
    <t>Járműves telemetria rendszer szerver- és alkalmazásoldali fejlesztése</t>
  </si>
  <si>
    <t>Server- and application-side development for a vehicle telemetry system</t>
  </si>
  <si>
    <t>DCDC konverter tervezése gallium-nitrid félvezetővel</t>
  </si>
  <si>
    <t>GaN based DCDC converter</t>
  </si>
  <si>
    <t>Smart inverter tervezése</t>
  </si>
  <si>
    <t>Smart inverter development</t>
  </si>
  <si>
    <t>Hajtásinverter tervezése és irányitása</t>
  </si>
  <si>
    <t>Design and control of a drive inverter</t>
  </si>
  <si>
    <t>Dinamikus teljesítményfélvezető teszter modellezése</t>
  </si>
  <si>
    <t>Digital Twin of a Dynamic Power Semiconductor Tester</t>
  </si>
  <si>
    <t>MI alapú értékelőrendszer közösségi oldalak alapján</t>
  </si>
  <si>
    <t>AI-based rating system based on social media</t>
  </si>
  <si>
    <t>Háztartásvezetést támogató alkalmazás fejlesztése</t>
  </si>
  <si>
    <t>Household management support application development</t>
  </si>
  <si>
    <t>Autókereskedő webshop fejlesztése .NET platformon</t>
  </si>
  <si>
    <t>Development of a car dealer webshop on .NET platform</t>
  </si>
  <si>
    <t>BANG! stílusú mobil kártyajáték fejlesztése</t>
  </si>
  <si>
    <t>Development of a BANG!-style Mobile Card Game</t>
  </si>
  <si>
    <t>Tesztkörnyezet fejlesztése elektromechanikus vasúti fékrendszer teszteléséhez</t>
  </si>
  <si>
    <t>Development of a test environment for testing electro-mechanical railway brake systems</t>
  </si>
  <si>
    <t>Kis késleltetésű videoátviteli rendszer fejlesztése</t>
  </si>
  <si>
    <t>Development of a Low Latency Video Transmission System</t>
  </si>
  <si>
    <t>Webalkalmazás fejlesztése gép tanulási folyamatok támogatására</t>
  </si>
  <si>
    <t>Web application development for supporting machine learning tasks</t>
  </si>
  <si>
    <t>angol</t>
  </si>
  <si>
    <t>Szünetmentes tápegység fejlesztése</t>
  </si>
  <si>
    <t>Development of an Uninterrupted Power Supply</t>
  </si>
  <si>
    <t>Okos szerszámosláda</t>
  </si>
  <si>
    <t>Smart toolbox</t>
  </si>
  <si>
    <t>Procedurális terep generálás GPU-n</t>
  </si>
  <si>
    <t>Procedural terrain generation on GPU</t>
  </si>
  <si>
    <t>4 tengelyes quadcopter fejlesztése és irányítása</t>
  </si>
  <si>
    <t>Design and Control of an Unmanned Aerial Vehicle</t>
  </si>
  <si>
    <t>Utazásajánló cross-platform közösségi alkalmazás fejlesztése Kotlin Multiplatformon</t>
  </si>
  <si>
    <t>Development of a cross-platform social application for travel recommendations on Kotlin Multiplatform</t>
  </si>
  <si>
    <t>Indukciós gép korszerű szabályozása</t>
  </si>
  <si>
    <t>Advance control of induction machines</t>
  </si>
  <si>
    <t>Személyre szabott ajánlórendszer egy e-kereskedelmi platformon</t>
  </si>
  <si>
    <t>A Personalized Recommendation System in an E-commerce Platform</t>
  </si>
  <si>
    <t>Okos zenei ajánlórendszer fejlesztése</t>
  </si>
  <si>
    <t>Development of a smart music recommendation system</t>
  </si>
  <si>
    <t>Kutatórakéta fedélzeti tápegységének tervezése</t>
  </si>
  <si>
    <t>Design of the onboard power supply of a sounding rocket</t>
  </si>
  <si>
    <t>Futásidő mérése beágyazott AUTOSAR környezetben</t>
  </si>
  <si>
    <t>Runtime Measurement in Embedded AUTOSAR Environments</t>
  </si>
  <si>
    <t>LLM-ek és RAG technikák alkalmazása egyetemi szabályzatokat értelmező chatbot megvalósításában</t>
  </si>
  <si>
    <t>Applying LLMs and RAG techniques for implementing a chatbot for interpreting university regulations</t>
  </si>
  <si>
    <t>IOT alapú mérőmodul fejlesztése</t>
  </si>
  <si>
    <t>Development of an IOT-based measurement module</t>
  </si>
  <si>
    <t>Mesterséges Intelligencia által generált videó tartalom detektálása</t>
  </si>
  <si>
    <t>Detection of AI-generated video content</t>
  </si>
  <si>
    <t>Mélytanulás alkalmazása fizika informált környezetben</t>
  </si>
  <si>
    <t>Application of deep learning in a physics-informed environment</t>
  </si>
  <si>
    <t>Bridge Weigh-in-Motion algoritmusok kiterjesztése többsávos környezetben mélytanulás alkalmazásával</t>
  </si>
  <si>
    <t>Extension of Bridge Weigh-in-Motion algorithms to multi-lane environments using deep learning</t>
  </si>
  <si>
    <t>JPEG tömörítő fejlesztése hardverleíró nyelven</t>
  </si>
  <si>
    <t>Development of a JPEG Encoder using a Hardware Description Language</t>
  </si>
  <si>
    <t>Akció-szerepjáték (ARPG) fejlesztése Unity platformon</t>
  </si>
  <si>
    <t>Action RPG development in Unity</t>
  </si>
  <si>
    <t>Szenzor-integrált egészségügyi monitorozó rendszer</t>
  </si>
  <si>
    <t>Sensor-integrated Health Monitoring system</t>
  </si>
  <si>
    <t>Komplex hardver tesztelő keretrendszer fejlesztése</t>
  </si>
  <si>
    <t>Development of a complex hardware testing framework</t>
  </si>
  <si>
    <t>Open-source, Python alapú szoftver fejlesztése helyi energiarendszer modellezésére</t>
  </si>
  <si>
    <t>Open-source, Python-based software development for local energy system modeling</t>
  </si>
  <si>
    <t>Mindennapi szoftvermérnöki feladatok automatizálása MI alapokon</t>
  </si>
  <si>
    <t>Everyday automation for software engineers using AI</t>
  </si>
  <si>
    <t>IoT hő- és páratartalommérő készülék</t>
  </si>
  <si>
    <t>IoT temperature and humidity measuring device</t>
  </si>
  <si>
    <t>Piaci adatgyűjtő rendszer: Heterogén adatforrások feldolgozása és integrálása egy központi platformon</t>
  </si>
  <si>
    <t>Commercial data integration system: processing heterogeneous data sources on a central platform</t>
  </si>
  <si>
    <t>Otthoni javítási szolgáltatási rendszer fejlesztése</t>
  </si>
  <si>
    <t>Development of Home Repair Service System</t>
  </si>
  <si>
    <t>AI ügynök alapú megoldások szolgáltatásmenedzsmentben</t>
  </si>
  <si>
    <t>AI agent-based in service management</t>
  </si>
  <si>
    <t>ÁrMester: árfigyelő és termék-összehasonlító rendszer Odoo-ban</t>
  </si>
  <si>
    <t>ÁrMester: Price Monitoring and Product Comparison System in Odoo</t>
  </si>
  <si>
    <t>Biológiai adatok feldolgozása gépi tanulással</t>
  </si>
  <si>
    <t>Processing Biological Data with Deep Learning</t>
  </si>
  <si>
    <t>Alternatív alkatrészek alkalmazhatóságának vizsgálata autóipari levegőelőkészítő egységek vezérlő elektronikájában</t>
  </si>
  <si>
    <t>Investigation of using alternative parts in control electronics of trucks' air preparation units</t>
  </si>
  <si>
    <t>JointCode: Valós idejű, együttműködő és mesterséges intelligencia által támogatott kódszerkesztő</t>
  </si>
  <si>
    <t>JointCode: A Real-Time Collaborative and AI-Assisted Code Editor</t>
  </si>
  <si>
    <t>Ipari automatizálási feladatok megvalósítása Siemens PLC-vel</t>
  </si>
  <si>
    <t>Implementation of industrial automation tasks with Siemens PLC</t>
  </si>
  <si>
    <t>Aktív elektromos összeköttetési rendszer szuborbitális kutatórakétához</t>
  </si>
  <si>
    <t>Active electrical interconnecting system in a suborbital sounding rocket</t>
  </si>
  <si>
    <t>CAN alapú mérésadatgyűjtő fejlesztése</t>
  </si>
  <si>
    <t>Development of a CAN-based measurement data acquisition device</t>
  </si>
  <si>
    <t>Anonymous Person Tracking</t>
  </si>
  <si>
    <t>Tesztelési célú szabályozó tervezése elektromos autó hajtás inverteréhez és validálása HIL rendszeren</t>
  </si>
  <si>
    <t>Designing a controller for testing purposes for an electric car drive inverter and validating it on a HIL system</t>
  </si>
  <si>
    <t>Elektromos autó fedélzeti töltőjéhez tesztelési célú szabályozó tervezése és HIL rendszeren való validálása</t>
  </si>
  <si>
    <t>Designing a controller for testing electric car on-board chargers and validating it on an HIL system</t>
  </si>
  <si>
    <t>Kígyók és létrák játék keretrendszer Unity alapon</t>
  </si>
  <si>
    <t>Snakes and ladders gaming framework in Unity</t>
  </si>
  <si>
    <t>Képességteszt-adatokat gyűjtő játékok fejlesztése Android és Web platformon</t>
  </si>
  <si>
    <t>Developing Skill Assessment Games on Android and Web Platforms</t>
  </si>
  <si>
    <t>Felhasználói preferencia alapú tartalom ajánló rendszer</t>
  </si>
  <si>
    <t>Development of a user preference-based content recommendation system</t>
  </si>
  <si>
    <t>Nagysebességű kommunikációs interfész fejlesztése FPGA-hoz</t>
  </si>
  <si>
    <t>High speed communication interface for FPGA circuits</t>
  </si>
  <si>
    <t>PupilEXT pupillometriai platform bővítése tekintetkövetési célokra</t>
  </si>
  <si>
    <t>Extension of the PupilEXT pupillometric platform for gaze tracking purposes</t>
  </si>
  <si>
    <t>Rendelésfelvétel digitalizálásához Java alapú MVP fejlesztése</t>
  </si>
  <si>
    <t>Implementing an MVP for digitalized orders on Java platform</t>
  </si>
  <si>
    <t>Multiplatform kártyajáték fejlesztése</t>
  </si>
  <si>
    <t>Developing a multiplatform card game</t>
  </si>
  <si>
    <t>Tűz- és munkavédelmi nyilvántartó rendszer fejlesztése</t>
  </si>
  <si>
    <t>Development of a fire protection and occupational safety registration system</t>
  </si>
  <si>
    <t>Éttermi helyfoglaló rendszer fejlesztése</t>
  </si>
  <si>
    <t>Development of a restaurant seat reservation system</t>
  </si>
  <si>
    <t>UAV fejlesztése és irányítása</t>
  </si>
  <si>
    <t>Cross-platform kliens keretrendszer készítése testreszabható alkalmazások fejlesztéséhez</t>
  </si>
  <si>
    <t>Building a cross-platform framework for customizable client applications</t>
  </si>
  <si>
    <t>Anyagtechnológiai CT felvételek elemzése</t>
  </si>
  <si>
    <t>Analysis of material technology CT scans</t>
  </si>
  <si>
    <t>Ügyfélszolgálati rendszer fejlesztése Spring és React platformon</t>
  </si>
  <si>
    <t>Developing a helpdesk system on Spring and React platforms</t>
  </si>
  <si>
    <t>Couchsurfing alkalmazás fejlesztése iOS platformon</t>
  </si>
  <si>
    <t>Couchsurfing Application Development for iOS</t>
  </si>
  <si>
    <t>Városépítős játék készítése</t>
  </si>
  <si>
    <t>City-building game develpoment</t>
  </si>
  <si>
    <t>Pénzügyi folyamatok előrejelzési lehetőségeit bemutató alkalmazás tervezése és megvalósítása</t>
  </si>
  <si>
    <t>Design and implementation of an application demonstrating the forecasting capabilities of financial processes</t>
  </si>
  <si>
    <t>2D rogue-like játék fejlesztése Android platformra</t>
  </si>
  <si>
    <t>Development of a 2D rogue-like game on the Android platform</t>
  </si>
  <si>
    <t>Mesterséges intelligencia módszerek vizsgálata körökre osztott valószínűség alapú játékban</t>
  </si>
  <si>
    <t>Investigating Artificial Intelligence Methods in a Turn-based Probability Game</t>
  </si>
  <si>
    <t>Étterem portál megvalósítása ASP.NET Core és React alapokon</t>
  </si>
  <si>
    <t>Implementing a restaurant portal based on ASP.NET Core and React</t>
  </si>
  <si>
    <t>Tycoon játék keretrendszer készítése</t>
  </si>
  <si>
    <t>Tycoon game framework development</t>
  </si>
  <si>
    <t>Tanulás segítő alkalmazás készítése</t>
  </si>
  <si>
    <t>Building a learning management system</t>
  </si>
  <si>
    <t>GPGPU: Algoritmusok optimalizálása GPU-n</t>
  </si>
  <si>
    <t>GPGPU: Optimization of algorithms on GPUs</t>
  </si>
  <si>
    <t>Eseménykezelő alkalmazás fejlesztése Android platformon</t>
  </si>
  <si>
    <t>Developing an event manager application on the Android platform</t>
  </si>
  <si>
    <t>Stratégiai játék fejlesztése Unity platformon</t>
  </si>
  <si>
    <t>Developing a strategy game on Unity platform</t>
  </si>
  <si>
    <t>Android alapú pénzügyi tervezést segítő alkalmazás fejlesztése</t>
  </si>
  <si>
    <t>Development of an Android-based Application for Financial Planning</t>
  </si>
  <si>
    <t>Dashboard készítése vállalati automatizációs rendszerhez</t>
  </si>
  <si>
    <t>Dashboard development for corporate automation platform</t>
  </si>
  <si>
    <t>Videostreaming webalkalmazás megvalósítása</t>
  </si>
  <si>
    <t>Implementing a video streaming web application</t>
  </si>
  <si>
    <t>Event Sourcing minta megvalósítása Big Data adathalmazon Microsoft Azure szolgáltatásokra építve</t>
  </si>
  <si>
    <t>Implementing Event Sourcing Pattern over Big Data Dataset Using Microsoft Azure Services</t>
  </si>
  <si>
    <t>Projekt kezelési felület fejlesztése Team Foundation Serverhez</t>
  </si>
  <si>
    <t>Development of a project management user interface for Team Foundation Server</t>
  </si>
  <si>
    <t>ESP32 alapú infravörös távirányító split-klímához, kijelzővel és hálózati kapcsolattal</t>
  </si>
  <si>
    <t>ESP32 based infrared remote control for split AC unit with display and network connection</t>
  </si>
  <si>
    <t>Mikrokontrolleres riasztó berendezés tervezése</t>
  </si>
  <si>
    <t>Design of microcontroller alarm equipment</t>
  </si>
  <si>
    <t>GNSS által támogatott inerciális navigációs rendszer tervezése és megvalósítása</t>
  </si>
  <si>
    <t>The design and implementation of a GNSS-aided inertial navigation system</t>
  </si>
  <si>
    <t>Tőzsdei kereskedési rendszer portolása webes környezetbe</t>
  </si>
  <si>
    <t>Porting a trading system to a Web Application</t>
  </si>
  <si>
    <t>Digitalizációs folyamatok fejlesztése és támogatása</t>
  </si>
  <si>
    <t>Development and support of digitization processes</t>
  </si>
  <si>
    <t>FESTO palettázó állomás átalakítása IP hálózaton keresztüli távvezérlésére. Demó alkalmazás HW összeállítása, PLC programozása.</t>
  </si>
  <si>
    <t>Rebuild of a FESTO palletizing station for remote control via IP network. Assemble demo application HW, PLC programming.</t>
  </si>
  <si>
    <t>Authorizációs szerver fejlesztése Kotlin és Spring környezetben</t>
  </si>
  <si>
    <t>Implementing an authorization server with Kotlin and Spring technologies</t>
  </si>
  <si>
    <t>NPC-k fejlesztése a Shoplifters játékhoz</t>
  </si>
  <si>
    <t>Development of Non-Player Characters (NPCs) for the Game Shoplifters</t>
  </si>
  <si>
    <t>Éttermi foglaló rendszer fejlesztése Azure serverless platformon</t>
  </si>
  <si>
    <t>Developing a Reservation System on Azure Serverless Platform</t>
  </si>
  <si>
    <t>Full-stack frontend-backend fejlesztés elvégzése pénzintézeti környezetben</t>
  </si>
  <si>
    <t>Full-stack development in banking environment</t>
  </si>
  <si>
    <t>Intelligens Döntéstámogatási Rendszer Vezetők Számára</t>
  </si>
  <si>
    <t>An Intelligent Decision Support System for Executives</t>
  </si>
  <si>
    <t>Web alapú konferencia menedzsment rendszer fejlesztése</t>
  </si>
  <si>
    <t>Development of Web-based Conference Management System</t>
  </si>
  <si>
    <t>Szakterületi nyelv létrehozása kétdimenziós játéktér generálására</t>
  </si>
  <si>
    <t>Domain-Specific Language for a two dimensional map generator</t>
  </si>
  <si>
    <t>Több objektum nyomkövetésére alkalmas algoritmusok vizsgálata és optimalizációja</t>
  </si>
  <si>
    <t>Investigation and Optimization of Multi-­Object Tracking Algorithms</t>
  </si>
  <si>
    <t>RFID technológia ipari alkalmazása</t>
  </si>
  <si>
    <t>Industrial application of RFID technology</t>
  </si>
  <si>
    <t>Ajánlórendszerek a zene területén</t>
  </si>
  <si>
    <t>Recommender Systems in the Music Domain</t>
  </si>
  <si>
    <t>Elektromos motor és üzemi fék optimális nyomatékelosztás szabályozása a longitudinális sebességpálya követéséhez</t>
  </si>
  <si>
    <t>Optimal torque distribution control of electric motor and service brake for longitudinal speed trajectory tracking</t>
  </si>
  <si>
    <t>Optimális áram referenciajel generálás IPMSM hajtások számára</t>
  </si>
  <si>
    <t>Optimal reference current generation for IPMSM drives</t>
  </si>
  <si>
    <t>Személyre szabott filmajánló rendszer webes alkalmazásokhoz</t>
  </si>
  <si>
    <t>Personalized Movie Recommender System for Web Applications</t>
  </si>
  <si>
    <t>Képfeldolgozó MI modellek alkalmazása önvezető járművek Unreal Engine-alapú szimulációjában</t>
  </si>
  <si>
    <t>Application of Computer Vision AI Models for Autonomous Vehicle Simulation in Unreal Engine</t>
  </si>
  <si>
    <t>RobonAUT versenypálya virtuális szimulációja autonóm vezetéshez</t>
  </si>
  <si>
    <t>RobonAUT virtual racetrack simulation for autonomous driving</t>
  </si>
  <si>
    <t>Jedi erő képfeldolgozással</t>
  </si>
  <si>
    <t>Jedi power with computer vision</t>
  </si>
  <si>
    <t>AI-vezérelt autonóm járművek versenyszimulációja Unreal Engine környezetben</t>
  </si>
  <si>
    <t>AI-driven autonomous vehicle racing simulation in Unreal Engine</t>
  </si>
  <si>
    <t>A követelményektől a hardverig: modellalapú életciklus egy biztonságkritikus nukleáris irányítástechnikai rendszer számára</t>
  </si>
  <si>
    <t>From Requirements to Hardware: A Model-Based Life Cycle for a Safety-Critical Nuclear Instrumentation and Control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</si>
</sst>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2"/>
      <color rgb="FFFFFFFF"/>
      <name val="Calibri"/>
      <family val="2"/>
      <charset val="238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4001F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</borders>
  <cellStyleXfs count="2">
    <xf numFmtId="0" fontId="0" fillId="0" borderId="0"/>
    <xf numFmtId="0" fontId="1" fillId="2" borderId="1"/>
  </cellStyleXfs>
  <cellXfs count="3">
    <xf numFmtId="0" fontId="0" fillId="0" borderId="0" xfId="0"/>
    <xf numFmtId="0" fontId="1" fillId="2" borderId="1" xfId="1"/>
    <xf numFmtId="0" fontId="2" fillId="0" borderId="0" xfId="0" applyFont="1"/>
  </cellXfs>
  <cellStyles count="2">
    <cellStyle name="headerStyle" xfId="1" xr:uid="{6845530C-5F7A-44AE-99E9-76EF3194F9CC}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1BB-16CA-4A6F-B783-8651BBC3F72D}">
  <sheetPr codeName="Munka1"/>
  <dimension ref="A1:D4"/>
  <sheetViews>
    <sheetView workbookViewId="0">
      <selection activeCell="D5" sqref="D5"/>
    </sheetView>
  </sheetViews>
  <sheetFormatPr defaultRowHeight="15" x14ac:dyDescent="0.25"/>
  <cols>
    <col min="1" max="1" width="6" bestFit="1" customWidth="1"/>
    <col min="2" max="2" width="10.42578125" bestFit="1" customWidth="1"/>
    <col min="3" max="3" width="24.5703125" bestFit="1" customWidth="1"/>
  </cols>
  <sheetData>
    <row r="1" spans="1:4" s="2" customFormat="1" x14ac:dyDescent="0.25">
      <c r="A1" s="2" t="s">
        <v>59</v>
      </c>
      <c r="B1" s="2" t="s">
        <v>61</v>
      </c>
      <c r="C1" s="2" t="s">
        <v>60</v>
      </c>
      <c r="D1" s="2" t="s">
        <v>62</v>
      </c>
    </row>
    <row r="2" spans="1:4" x14ac:dyDescent="0.25">
      <c r="A2">
        <v>1</v>
      </c>
      <c r="B2" t="s">
        <v>64</v>
      </c>
      <c r="C2" t="s">
        <v>63</v>
      </c>
      <c r="D2" t="s">
        <v>67</v>
      </c>
    </row>
    <row r="3" spans="1:4" x14ac:dyDescent="0.25">
      <c r="A3">
        <v>2</v>
      </c>
      <c r="B3" t="s">
        <v>65</v>
      </c>
      <c r="C3" t="s">
        <v>66</v>
      </c>
      <c r="D3" t="s">
        <v>68</v>
      </c>
    </row>
    <row r="4" spans="1:4" x14ac:dyDescent="0.25">
      <c r="A4">
        <v>3</v>
      </c>
      <c r="D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78705-867E-4798-BBF6-D52F72EC6C25}">
  <sheetPr codeName="Munka2"/>
  <dimension ref="A1:I126"/>
  <sheetViews>
    <sheetView tabSelected="1" workbookViewId="0">
      <selection activeCell="D1" sqref="D1"/>
    </sheetView>
  </sheetViews>
  <sheetFormatPr defaultRowHeight="15" x14ac:dyDescent="0.25"/>
  <cols>
    <col min="1" max="1" width="12.85546875" bestFit="1" customWidth="1"/>
    <col min="2" max="2" width="11.140625" bestFit="1" customWidth="1"/>
    <col min="3" max="3" width="9.7109375" bestFit="1" customWidth="1"/>
    <col min="4" max="4" width="22.140625" bestFit="1" customWidth="1"/>
    <col min="5" max="7" width="22.140625" customWidth="1"/>
    <col min="8" max="8" width="21.140625" bestFit="1" customWidth="1"/>
    <col min="9" max="9" width="14.7109375" bestFit="1" customWidth="1"/>
    <col min="10" max="10" width="20" bestFit="1" customWidth="1"/>
    <col min="11" max="11" width="19.28515625" bestFit="1" customWidth="1"/>
  </cols>
  <sheetData>
    <row r="1" spans="1:9" s="2" customFormat="1" x14ac:dyDescent="0.25">
      <c r="A1" s="2" t="s">
        <v>56</v>
      </c>
      <c r="B1" s="2" t="s">
        <v>55</v>
      </c>
      <c r="C1" s="2" t="s">
        <v>57</v>
      </c>
      <c r="D1" s="2" t="s">
        <v>48</v>
      </c>
      <c r="E1" s="2" t="s">
        <v>70</v>
      </c>
      <c r="F1" s="2" t="s">
        <v>71</v>
      </c>
      <c r="G1" s="2" t="s">
        <v>72</v>
      </c>
      <c r="H1" s="2" t="s">
        <v>49</v>
      </c>
      <c r="I1" s="2" t="s">
        <v>58</v>
      </c>
    </row>
    <row r="2" spans="1:9" x14ac:dyDescent="0.25">
      <c r="A2" t="s">
        <v>86</v>
      </c>
      <c r="B2" t="s">
        <v>87</v>
      </c>
      <c r="C2" t="s">
        <v>3</v>
      </c>
      <c r="D2" t="str">
        <f>IFERROR(VLOOKUP($C2,'Tantárgyi adatok'!B:D,2,FALSE),"nincs")</f>
        <v>Diplomatervezési</v>
      </c>
      <c r="E2" t="s">
        <v>374</v>
      </c>
      <c r="F2" t="s">
        <v>375</v>
      </c>
      <c r="G2" t="s">
        <v>376</v>
      </c>
      <c r="H2" t="str">
        <f>IFERROR(VLOOKUP($C2,'Tantárgyi adatok'!B:D,3,FALSE),"nincs")</f>
        <v>Mérnökinformatikus</v>
      </c>
      <c r="I2" t="s">
        <v>85</v>
      </c>
    </row>
    <row r="3" spans="1:9" x14ac:dyDescent="0.25">
      <c r="A3" t="s">
        <v>88</v>
      </c>
      <c r="B3" t="s">
        <v>89</v>
      </c>
      <c r="C3" t="s">
        <v>3</v>
      </c>
      <c r="D3" t="str">
        <f>IFERROR(VLOOKUP($C3,'Tantárgyi adatok'!B:D,2,FALSE),"nincs")</f>
        <v>Diplomatervezési</v>
      </c>
      <c r="E3" t="s">
        <v>377</v>
      </c>
      <c r="F3" t="s">
        <v>378</v>
      </c>
      <c r="G3" t="s">
        <v>376</v>
      </c>
      <c r="H3" t="str">
        <f>IFERROR(VLOOKUP($C3,'Tantárgyi adatok'!B:D,3,FALSE),"nincs")</f>
        <v>Mérnökinformatikus</v>
      </c>
      <c r="I3" t="s">
        <v>90</v>
      </c>
    </row>
    <row r="4" spans="1:9" x14ac:dyDescent="0.25">
      <c r="A4" t="s">
        <v>91</v>
      </c>
      <c r="B4" t="s">
        <v>92</v>
      </c>
      <c r="C4" t="s">
        <v>3</v>
      </c>
      <c r="D4" t="str">
        <f>IFERROR(VLOOKUP($C4,'Tantárgyi adatok'!B:D,2,FALSE),"nincs")</f>
        <v>Diplomatervezési</v>
      </c>
      <c r="E4" t="s">
        <v>379</v>
      </c>
      <c r="F4" t="s">
        <v>380</v>
      </c>
      <c r="G4" t="s">
        <v>376</v>
      </c>
      <c r="H4" t="str">
        <f>IFERROR(VLOOKUP($C4,'Tantárgyi adatok'!B:D,3,FALSE),"nincs")</f>
        <v>Mérnökinformatikus</v>
      </c>
      <c r="I4" t="s">
        <v>93</v>
      </c>
    </row>
    <row r="5" spans="1:9" x14ac:dyDescent="0.25">
      <c r="A5" t="s">
        <v>94</v>
      </c>
      <c r="B5" t="s">
        <v>95</v>
      </c>
      <c r="C5" t="s">
        <v>3</v>
      </c>
      <c r="D5" t="str">
        <f>IFERROR(VLOOKUP($C5,'Tantárgyi adatok'!B:D,2,FALSE),"nincs")</f>
        <v>Diplomatervezési</v>
      </c>
      <c r="E5" t="s">
        <v>381</v>
      </c>
      <c r="F5" t="s">
        <v>382</v>
      </c>
      <c r="G5" t="s">
        <v>376</v>
      </c>
      <c r="H5" t="str">
        <f>IFERROR(VLOOKUP($C5,'Tantárgyi adatok'!B:D,3,FALSE),"nincs")</f>
        <v>Mérnökinformatikus</v>
      </c>
      <c r="I5" t="s">
        <v>96</v>
      </c>
    </row>
    <row r="6" spans="1:9" x14ac:dyDescent="0.25">
      <c r="A6" t="s">
        <v>97</v>
      </c>
      <c r="B6" t="s">
        <v>98</v>
      </c>
      <c r="C6" t="s">
        <v>3</v>
      </c>
      <c r="D6" t="str">
        <f>IFERROR(VLOOKUP($C6,'Tantárgyi adatok'!B:D,2,FALSE),"nincs")</f>
        <v>Diplomatervezési</v>
      </c>
      <c r="E6" t="s">
        <v>383</v>
      </c>
      <c r="F6" t="s">
        <v>384</v>
      </c>
      <c r="G6" t="s">
        <v>376</v>
      </c>
      <c r="H6" t="str">
        <f>IFERROR(VLOOKUP($C6,'Tantárgyi adatok'!B:D,3,FALSE),"nincs")</f>
        <v>Mérnökinformatikus</v>
      </c>
      <c r="I6" t="s">
        <v>99</v>
      </c>
    </row>
    <row r="7" spans="1:9" x14ac:dyDescent="0.25">
      <c r="A7" t="s">
        <v>100</v>
      </c>
      <c r="B7" t="s">
        <v>101</v>
      </c>
      <c r="C7" t="s">
        <v>3</v>
      </c>
      <c r="D7" t="str">
        <f>IFERROR(VLOOKUP($C7,'Tantárgyi adatok'!B:D,2,FALSE),"nincs")</f>
        <v>Diplomatervezési</v>
      </c>
      <c r="E7" t="s">
        <v>383</v>
      </c>
      <c r="F7" t="s">
        <v>384</v>
      </c>
      <c r="G7" t="s">
        <v>376</v>
      </c>
      <c r="H7" t="str">
        <f>IFERROR(VLOOKUP($C7,'Tantárgyi adatok'!B:D,3,FALSE),"nincs")</f>
        <v>Mérnökinformatikus</v>
      </c>
      <c r="I7" t="s">
        <v>85</v>
      </c>
    </row>
    <row r="8" spans="1:9" x14ac:dyDescent="0.25">
      <c r="A8" t="s">
        <v>102</v>
      </c>
      <c r="B8" t="s">
        <v>103</v>
      </c>
      <c r="C8" t="s">
        <v>3</v>
      </c>
      <c r="D8" t="str">
        <f>IFERROR(VLOOKUP($C8,'Tantárgyi adatok'!B:D,2,FALSE),"nincs")</f>
        <v>Diplomatervezési</v>
      </c>
      <c r="E8" t="s">
        <v>383</v>
      </c>
      <c r="F8" t="s">
        <v>384</v>
      </c>
      <c r="G8" t="s">
        <v>376</v>
      </c>
      <c r="H8" t="str">
        <f>IFERROR(VLOOKUP($C8,'Tantárgyi adatok'!B:D,3,FALSE),"nincs")</f>
        <v>Mérnökinformatikus</v>
      </c>
      <c r="I8" t="s">
        <v>104</v>
      </c>
    </row>
    <row r="9" spans="1:9" x14ac:dyDescent="0.25">
      <c r="A9" t="s">
        <v>105</v>
      </c>
      <c r="B9" t="s">
        <v>106</v>
      </c>
      <c r="C9" t="s">
        <v>3</v>
      </c>
      <c r="D9" t="str">
        <f>IFERROR(VLOOKUP($C9,'Tantárgyi adatok'!B:D,2,FALSE),"nincs")</f>
        <v>Diplomatervezési</v>
      </c>
      <c r="E9" t="s">
        <v>385</v>
      </c>
      <c r="F9" t="s">
        <v>386</v>
      </c>
      <c r="G9" t="s">
        <v>376</v>
      </c>
      <c r="H9" t="str">
        <f>IFERROR(VLOOKUP($C9,'Tantárgyi adatok'!B:D,3,FALSE),"nincs")</f>
        <v>Mérnökinformatikus</v>
      </c>
      <c r="I9" t="s">
        <v>99</v>
      </c>
    </row>
    <row r="10" spans="1:9" x14ac:dyDescent="0.25">
      <c r="A10" t="s">
        <v>107</v>
      </c>
      <c r="B10" t="s">
        <v>108</v>
      </c>
      <c r="C10" t="s">
        <v>5</v>
      </c>
      <c r="D10" t="str">
        <f>IFERROR(VLOOKUP($C10,'Tantárgyi adatok'!B:D,2,FALSE),"nincs")</f>
        <v>Diplomatervezési</v>
      </c>
      <c r="E10" t="s">
        <v>387</v>
      </c>
      <c r="F10" t="s">
        <v>388</v>
      </c>
      <c r="G10" t="s">
        <v>376</v>
      </c>
      <c r="H10" t="str">
        <f>IFERROR(VLOOKUP($C10,'Tantárgyi adatok'!B:D,3,FALSE),"nincs")</f>
        <v>Mérnökinformatikus</v>
      </c>
      <c r="I10" t="s">
        <v>109</v>
      </c>
    </row>
    <row r="11" spans="1:9" x14ac:dyDescent="0.25">
      <c r="A11" t="s">
        <v>110</v>
      </c>
      <c r="B11" t="s">
        <v>111</v>
      </c>
      <c r="C11" t="s">
        <v>5</v>
      </c>
      <c r="D11" t="str">
        <f>IFERROR(VLOOKUP($C11,'Tantárgyi adatok'!B:D,2,FALSE),"nincs")</f>
        <v>Diplomatervezési</v>
      </c>
      <c r="E11" t="s">
        <v>389</v>
      </c>
      <c r="F11" t="s">
        <v>390</v>
      </c>
      <c r="G11" t="s">
        <v>376</v>
      </c>
      <c r="H11" t="str">
        <f>IFERROR(VLOOKUP($C11,'Tantárgyi adatok'!B:D,3,FALSE),"nincs")</f>
        <v>Mérnökinformatikus</v>
      </c>
      <c r="I11" t="s">
        <v>112</v>
      </c>
    </row>
    <row r="12" spans="1:9" x14ac:dyDescent="0.25">
      <c r="A12" t="s">
        <v>113</v>
      </c>
      <c r="B12" t="s">
        <v>114</v>
      </c>
      <c r="C12" t="s">
        <v>5</v>
      </c>
      <c r="D12" t="str">
        <f>IFERROR(VLOOKUP($C12,'Tantárgyi adatok'!B:D,2,FALSE),"nincs")</f>
        <v>Diplomatervezési</v>
      </c>
      <c r="E12" t="s">
        <v>391</v>
      </c>
      <c r="F12" t="s">
        <v>392</v>
      </c>
      <c r="G12" t="s">
        <v>376</v>
      </c>
      <c r="H12" t="str">
        <f>IFERROR(VLOOKUP($C12,'Tantárgyi adatok'!B:D,3,FALSE),"nincs")</f>
        <v>Mérnökinformatikus</v>
      </c>
      <c r="I12" t="s">
        <v>115</v>
      </c>
    </row>
    <row r="13" spans="1:9" x14ac:dyDescent="0.25">
      <c r="A13" t="s">
        <v>116</v>
      </c>
      <c r="B13" t="s">
        <v>117</v>
      </c>
      <c r="C13" t="s">
        <v>5</v>
      </c>
      <c r="D13" t="str">
        <f>IFERROR(VLOOKUP($C13,'Tantárgyi adatok'!B:D,2,FALSE),"nincs")</f>
        <v>Diplomatervezési</v>
      </c>
      <c r="E13" t="s">
        <v>393</v>
      </c>
      <c r="F13" t="s">
        <v>394</v>
      </c>
      <c r="G13" t="s">
        <v>376</v>
      </c>
      <c r="H13" t="str">
        <f>IFERROR(VLOOKUP($C13,'Tantárgyi adatok'!B:D,3,FALSE),"nincs")</f>
        <v>Mérnökinformatikus</v>
      </c>
      <c r="I13" t="s">
        <v>118</v>
      </c>
    </row>
    <row r="14" spans="1:9" x14ac:dyDescent="0.25">
      <c r="A14" t="s">
        <v>119</v>
      </c>
      <c r="B14" t="s">
        <v>120</v>
      </c>
      <c r="C14" t="s">
        <v>5</v>
      </c>
      <c r="D14" t="str">
        <f>IFERROR(VLOOKUP($C14,'Tantárgyi adatok'!B:D,2,FALSE),"nincs")</f>
        <v>Diplomatervezési</v>
      </c>
      <c r="E14" t="s">
        <v>393</v>
      </c>
      <c r="F14" t="s">
        <v>394</v>
      </c>
      <c r="G14" t="s">
        <v>376</v>
      </c>
      <c r="H14" t="str">
        <f>IFERROR(VLOOKUP($C14,'Tantárgyi adatok'!B:D,3,FALSE),"nincs")</f>
        <v>Mérnökinformatikus</v>
      </c>
      <c r="I14" t="s">
        <v>118</v>
      </c>
    </row>
    <row r="15" spans="1:9" x14ac:dyDescent="0.25">
      <c r="A15" t="s">
        <v>121</v>
      </c>
      <c r="B15" t="s">
        <v>122</v>
      </c>
      <c r="C15" t="s">
        <v>5</v>
      </c>
      <c r="D15" t="str">
        <f>IFERROR(VLOOKUP($C15,'Tantárgyi adatok'!B:D,2,FALSE),"nincs")</f>
        <v>Diplomatervezési</v>
      </c>
      <c r="E15" t="s">
        <v>395</v>
      </c>
      <c r="F15" t="s">
        <v>396</v>
      </c>
      <c r="G15" t="s">
        <v>376</v>
      </c>
      <c r="H15" t="str">
        <f>IFERROR(VLOOKUP($C15,'Tantárgyi adatok'!B:D,3,FALSE),"nincs")</f>
        <v>Mérnökinformatikus</v>
      </c>
      <c r="I15" t="s">
        <v>123</v>
      </c>
    </row>
    <row r="16" spans="1:9" x14ac:dyDescent="0.25">
      <c r="A16" t="s">
        <v>124</v>
      </c>
      <c r="B16" t="s">
        <v>125</v>
      </c>
      <c r="C16" t="s">
        <v>5</v>
      </c>
      <c r="D16" t="str">
        <f>IFERROR(VLOOKUP($C16,'Tantárgyi adatok'!B:D,2,FALSE),"nincs")</f>
        <v>Diplomatervezési</v>
      </c>
      <c r="E16" t="s">
        <v>397</v>
      </c>
      <c r="F16" t="s">
        <v>398</v>
      </c>
      <c r="G16" t="s">
        <v>376</v>
      </c>
      <c r="H16" t="str">
        <f>IFERROR(VLOOKUP($C16,'Tantárgyi adatok'!B:D,3,FALSE),"nincs")</f>
        <v>Mérnökinformatikus</v>
      </c>
      <c r="I16" t="s">
        <v>123</v>
      </c>
    </row>
    <row r="17" spans="1:9" x14ac:dyDescent="0.25">
      <c r="A17" t="s">
        <v>126</v>
      </c>
      <c r="B17" t="s">
        <v>127</v>
      </c>
      <c r="C17" t="s">
        <v>5</v>
      </c>
      <c r="D17" t="str">
        <f>IFERROR(VLOOKUP($C17,'Tantárgyi adatok'!B:D,2,FALSE),"nincs")</f>
        <v>Diplomatervezési</v>
      </c>
      <c r="E17" t="s">
        <v>399</v>
      </c>
      <c r="F17" t="s">
        <v>400</v>
      </c>
      <c r="G17" t="s">
        <v>376</v>
      </c>
      <c r="H17" t="str">
        <f>IFERROR(VLOOKUP($C17,'Tantárgyi adatok'!B:D,3,FALSE),"nincs")</f>
        <v>Mérnökinformatikus</v>
      </c>
      <c r="I17" t="s">
        <v>128</v>
      </c>
    </row>
    <row r="18" spans="1:9" x14ac:dyDescent="0.25">
      <c r="A18" t="s">
        <v>129</v>
      </c>
      <c r="B18" t="s">
        <v>130</v>
      </c>
      <c r="C18" t="s">
        <v>5</v>
      </c>
      <c r="D18" t="str">
        <f>IFERROR(VLOOKUP($C18,'Tantárgyi adatok'!B:D,2,FALSE),"nincs")</f>
        <v>Diplomatervezési</v>
      </c>
      <c r="E18" t="s">
        <v>401</v>
      </c>
      <c r="F18" t="s">
        <v>402</v>
      </c>
      <c r="G18" t="s">
        <v>376</v>
      </c>
      <c r="H18" t="str">
        <f>IFERROR(VLOOKUP($C18,'Tantárgyi adatok'!B:D,3,FALSE),"nincs")</f>
        <v>Mérnökinformatikus</v>
      </c>
      <c r="I18" t="s">
        <v>131</v>
      </c>
    </row>
    <row r="19" spans="1:9" x14ac:dyDescent="0.25">
      <c r="A19" t="s">
        <v>132</v>
      </c>
      <c r="B19" t="s">
        <v>133</v>
      </c>
      <c r="C19" t="s">
        <v>5</v>
      </c>
      <c r="D19" t="str">
        <f>IFERROR(VLOOKUP($C19,'Tantárgyi adatok'!B:D,2,FALSE),"nincs")</f>
        <v>Diplomatervezési</v>
      </c>
      <c r="E19" t="s">
        <v>403</v>
      </c>
      <c r="F19" t="s">
        <v>404</v>
      </c>
      <c r="G19" t="s">
        <v>376</v>
      </c>
      <c r="H19" t="str">
        <f>IFERROR(VLOOKUP($C19,'Tantárgyi adatok'!B:D,3,FALSE),"nincs")</f>
        <v>Mérnökinformatikus</v>
      </c>
      <c r="I19" t="s">
        <v>93</v>
      </c>
    </row>
    <row r="20" spans="1:9" x14ac:dyDescent="0.25">
      <c r="A20" t="s">
        <v>134</v>
      </c>
      <c r="B20" t="s">
        <v>135</v>
      </c>
      <c r="C20" t="s">
        <v>5</v>
      </c>
      <c r="D20" t="str">
        <f>IFERROR(VLOOKUP($C20,'Tantárgyi adatok'!B:D,2,FALSE),"nincs")</f>
        <v>Diplomatervezési</v>
      </c>
      <c r="E20" t="s">
        <v>405</v>
      </c>
      <c r="F20" t="s">
        <v>406</v>
      </c>
      <c r="G20" t="s">
        <v>376</v>
      </c>
      <c r="H20" t="str">
        <f>IFERROR(VLOOKUP($C20,'Tantárgyi adatok'!B:D,3,FALSE),"nincs")</f>
        <v>Mérnökinformatikus</v>
      </c>
      <c r="I20" t="s">
        <v>109</v>
      </c>
    </row>
    <row r="21" spans="1:9" x14ac:dyDescent="0.25">
      <c r="A21" t="s">
        <v>136</v>
      </c>
      <c r="B21" t="s">
        <v>137</v>
      </c>
      <c r="C21" t="s">
        <v>5</v>
      </c>
      <c r="D21" t="str">
        <f>IFERROR(VLOOKUP($C21,'Tantárgyi adatok'!B:D,2,FALSE),"nincs")</f>
        <v>Diplomatervezési</v>
      </c>
      <c r="E21" t="s">
        <v>407</v>
      </c>
      <c r="F21" t="s">
        <v>408</v>
      </c>
      <c r="G21" t="s">
        <v>376</v>
      </c>
      <c r="H21" t="str">
        <f>IFERROR(VLOOKUP($C21,'Tantárgyi adatok'!B:D,3,FALSE),"nincs")</f>
        <v>Mérnökinformatikus</v>
      </c>
      <c r="I21" t="s">
        <v>138</v>
      </c>
    </row>
    <row r="22" spans="1:9" x14ac:dyDescent="0.25">
      <c r="A22" t="s">
        <v>139</v>
      </c>
      <c r="B22" t="s">
        <v>140</v>
      </c>
      <c r="C22" t="s">
        <v>5</v>
      </c>
      <c r="D22" t="str">
        <f>IFERROR(VLOOKUP($C22,'Tantárgyi adatok'!B:D,2,FALSE),"nincs")</f>
        <v>Diplomatervezési</v>
      </c>
      <c r="E22" t="s">
        <v>409</v>
      </c>
      <c r="F22" t="s">
        <v>410</v>
      </c>
      <c r="G22" t="s">
        <v>376</v>
      </c>
      <c r="H22" t="str">
        <f>IFERROR(VLOOKUP($C22,'Tantárgyi adatok'!B:D,3,FALSE),"nincs")</f>
        <v>Mérnökinformatikus</v>
      </c>
      <c r="I22" t="s">
        <v>85</v>
      </c>
    </row>
    <row r="23" spans="1:9" x14ac:dyDescent="0.25">
      <c r="A23" t="s">
        <v>141</v>
      </c>
      <c r="B23" t="s">
        <v>142</v>
      </c>
      <c r="C23" t="s">
        <v>5</v>
      </c>
      <c r="D23" t="str">
        <f>IFERROR(VLOOKUP($C23,'Tantárgyi adatok'!B:D,2,FALSE),"nincs")</f>
        <v>Diplomatervezési</v>
      </c>
      <c r="E23" t="s">
        <v>411</v>
      </c>
      <c r="F23" t="s">
        <v>412</v>
      </c>
      <c r="G23" t="s">
        <v>376</v>
      </c>
      <c r="H23" t="str">
        <f>IFERROR(VLOOKUP($C23,'Tantárgyi adatok'!B:D,3,FALSE),"nincs")</f>
        <v>Mérnökinformatikus</v>
      </c>
      <c r="I23" t="s">
        <v>115</v>
      </c>
    </row>
    <row r="24" spans="1:9" x14ac:dyDescent="0.25">
      <c r="A24" t="s">
        <v>143</v>
      </c>
      <c r="B24" t="s">
        <v>144</v>
      </c>
      <c r="C24" t="s">
        <v>5</v>
      </c>
      <c r="D24" t="str">
        <f>IFERROR(VLOOKUP($C24,'Tantárgyi adatok'!B:D,2,FALSE),"nincs")</f>
        <v>Diplomatervezési</v>
      </c>
      <c r="E24" t="s">
        <v>413</v>
      </c>
      <c r="F24" t="s">
        <v>414</v>
      </c>
      <c r="G24" t="s">
        <v>376</v>
      </c>
      <c r="H24" t="str">
        <f>IFERROR(VLOOKUP($C24,'Tantárgyi adatok'!B:D,3,FALSE),"nincs")</f>
        <v>Mérnökinformatikus</v>
      </c>
      <c r="I24" t="s">
        <v>104</v>
      </c>
    </row>
    <row r="25" spans="1:9" x14ac:dyDescent="0.25">
      <c r="A25" t="s">
        <v>145</v>
      </c>
      <c r="B25" t="s">
        <v>146</v>
      </c>
      <c r="C25" t="s">
        <v>7</v>
      </c>
      <c r="D25" t="str">
        <f>IFERROR(VLOOKUP($C25,'Tantárgyi adatok'!B:D,2,FALSE),"nincs")</f>
        <v>Diplomatervezési</v>
      </c>
      <c r="E25" t="s">
        <v>415</v>
      </c>
      <c r="F25" t="s">
        <v>416</v>
      </c>
      <c r="G25" t="s">
        <v>376</v>
      </c>
      <c r="H25" t="str">
        <f>IFERROR(VLOOKUP($C25,'Tantárgyi adatok'!B:D,3,FALSE),"nincs")</f>
        <v>Villamosmérnök</v>
      </c>
      <c r="I25" t="s">
        <v>147</v>
      </c>
    </row>
    <row r="26" spans="1:9" x14ac:dyDescent="0.25">
      <c r="A26" t="s">
        <v>148</v>
      </c>
      <c r="B26" t="s">
        <v>149</v>
      </c>
      <c r="C26" t="s">
        <v>9</v>
      </c>
      <c r="D26" t="str">
        <f>IFERROR(VLOOKUP($C26,'Tantárgyi adatok'!B:D,2,FALSE),"nincs")</f>
        <v>Diplomatervezési</v>
      </c>
      <c r="E26" t="s">
        <v>417</v>
      </c>
      <c r="F26" t="s">
        <v>418</v>
      </c>
      <c r="G26" t="s">
        <v>376</v>
      </c>
      <c r="H26" t="str">
        <f>IFERROR(VLOOKUP($C26,'Tantárgyi adatok'!B:D,3,FALSE),"nincs")</f>
        <v>Villamosmérnök</v>
      </c>
      <c r="I26" t="s">
        <v>150</v>
      </c>
    </row>
    <row r="27" spans="1:9" x14ac:dyDescent="0.25">
      <c r="A27" t="s">
        <v>151</v>
      </c>
      <c r="B27" t="s">
        <v>152</v>
      </c>
      <c r="C27" t="s">
        <v>9</v>
      </c>
      <c r="D27" t="str">
        <f>IFERROR(VLOOKUP($C27,'Tantárgyi adatok'!B:D,2,FALSE),"nincs")</f>
        <v>Diplomatervezési</v>
      </c>
      <c r="E27" t="s">
        <v>419</v>
      </c>
      <c r="F27" t="s">
        <v>420</v>
      </c>
      <c r="G27" t="s">
        <v>376</v>
      </c>
      <c r="H27" t="str">
        <f>IFERROR(VLOOKUP($C27,'Tantárgyi adatok'!B:D,3,FALSE),"nincs")</f>
        <v>Villamosmérnök</v>
      </c>
      <c r="I27" t="s">
        <v>153</v>
      </c>
    </row>
    <row r="28" spans="1:9" x14ac:dyDescent="0.25">
      <c r="A28" t="s">
        <v>154</v>
      </c>
      <c r="B28" t="s">
        <v>155</v>
      </c>
      <c r="C28" t="s">
        <v>9</v>
      </c>
      <c r="D28" t="str">
        <f>IFERROR(VLOOKUP($C28,'Tantárgyi adatok'!B:D,2,FALSE),"nincs")</f>
        <v>Diplomatervezési</v>
      </c>
      <c r="E28" t="s">
        <v>421</v>
      </c>
      <c r="F28" t="s">
        <v>422</v>
      </c>
      <c r="G28" t="s">
        <v>376</v>
      </c>
      <c r="H28" t="str">
        <f>IFERROR(VLOOKUP($C28,'Tantárgyi adatok'!B:D,3,FALSE),"nincs")</f>
        <v>Villamosmérnök</v>
      </c>
      <c r="I28" t="s">
        <v>156</v>
      </c>
    </row>
    <row r="29" spans="1:9" x14ac:dyDescent="0.25">
      <c r="A29" t="s">
        <v>157</v>
      </c>
      <c r="B29" t="s">
        <v>158</v>
      </c>
      <c r="C29" t="s">
        <v>9</v>
      </c>
      <c r="D29" t="str">
        <f>IFERROR(VLOOKUP($C29,'Tantárgyi adatok'!B:D,2,FALSE),"nincs")</f>
        <v>Diplomatervezési</v>
      </c>
      <c r="E29" t="s">
        <v>423</v>
      </c>
      <c r="F29" t="s">
        <v>424</v>
      </c>
      <c r="G29" t="s">
        <v>376</v>
      </c>
      <c r="H29" t="str">
        <f>IFERROR(VLOOKUP($C29,'Tantárgyi adatok'!B:D,3,FALSE),"nincs")</f>
        <v>Villamosmérnök</v>
      </c>
      <c r="I29" t="s">
        <v>159</v>
      </c>
    </row>
    <row r="30" spans="1:9" x14ac:dyDescent="0.25">
      <c r="A30" t="s">
        <v>160</v>
      </c>
      <c r="B30" t="s">
        <v>161</v>
      </c>
      <c r="C30" t="s">
        <v>9</v>
      </c>
      <c r="D30" t="str">
        <f>IFERROR(VLOOKUP($C30,'Tantárgyi adatok'!B:D,2,FALSE),"nincs")</f>
        <v>Diplomatervezési</v>
      </c>
      <c r="E30" t="s">
        <v>425</v>
      </c>
      <c r="F30" t="s">
        <v>426</v>
      </c>
      <c r="G30" t="s">
        <v>376</v>
      </c>
      <c r="H30" t="str">
        <f>IFERROR(VLOOKUP($C30,'Tantárgyi adatok'!B:D,3,FALSE),"nincs")</f>
        <v>Villamosmérnök</v>
      </c>
      <c r="I30" t="s">
        <v>162</v>
      </c>
    </row>
    <row r="31" spans="1:9" x14ac:dyDescent="0.25">
      <c r="A31" t="s">
        <v>163</v>
      </c>
      <c r="B31" t="s">
        <v>164</v>
      </c>
      <c r="C31" t="s">
        <v>9</v>
      </c>
      <c r="D31" t="str">
        <f>IFERROR(VLOOKUP($C31,'Tantárgyi adatok'!B:D,2,FALSE),"nincs")</f>
        <v>Diplomatervezési</v>
      </c>
      <c r="E31" t="s">
        <v>427</v>
      </c>
      <c r="F31" t="s">
        <v>428</v>
      </c>
      <c r="G31" t="s">
        <v>376</v>
      </c>
      <c r="H31" t="str">
        <f>IFERROR(VLOOKUP($C31,'Tantárgyi adatok'!B:D,3,FALSE),"nincs")</f>
        <v>Villamosmérnök</v>
      </c>
      <c r="I31" t="s">
        <v>165</v>
      </c>
    </row>
    <row r="32" spans="1:9" x14ac:dyDescent="0.25">
      <c r="A32" t="s">
        <v>166</v>
      </c>
      <c r="B32" t="s">
        <v>167</v>
      </c>
      <c r="C32" t="s">
        <v>9</v>
      </c>
      <c r="D32" t="str">
        <f>IFERROR(VLOOKUP($C32,'Tantárgyi adatok'!B:D,2,FALSE),"nincs")</f>
        <v>Diplomatervezési</v>
      </c>
      <c r="E32" t="s">
        <v>429</v>
      </c>
      <c r="F32" t="s">
        <v>430</v>
      </c>
      <c r="G32" t="s">
        <v>376</v>
      </c>
      <c r="H32" t="str">
        <f>IFERROR(VLOOKUP($C32,'Tantárgyi adatok'!B:D,3,FALSE),"nincs")</f>
        <v>Villamosmérnök</v>
      </c>
      <c r="I32" t="s">
        <v>168</v>
      </c>
    </row>
    <row r="33" spans="1:9" x14ac:dyDescent="0.25">
      <c r="A33" t="s">
        <v>169</v>
      </c>
      <c r="B33" t="s">
        <v>170</v>
      </c>
      <c r="C33" t="s">
        <v>9</v>
      </c>
      <c r="D33" t="str">
        <f>IFERROR(VLOOKUP($C33,'Tantárgyi adatok'!B:D,2,FALSE),"nincs")</f>
        <v>Diplomatervezési</v>
      </c>
      <c r="E33" t="s">
        <v>431</v>
      </c>
      <c r="F33" t="s">
        <v>432</v>
      </c>
      <c r="G33" t="s">
        <v>376</v>
      </c>
      <c r="H33" t="str">
        <f>IFERROR(VLOOKUP($C33,'Tantárgyi adatok'!B:D,3,FALSE),"nincs")</f>
        <v>Villamosmérnök</v>
      </c>
      <c r="I33" t="s">
        <v>171</v>
      </c>
    </row>
    <row r="34" spans="1:9" x14ac:dyDescent="0.25">
      <c r="A34" t="s">
        <v>187</v>
      </c>
      <c r="B34" t="s">
        <v>188</v>
      </c>
      <c r="C34" t="s">
        <v>17</v>
      </c>
      <c r="D34" t="str">
        <f>IFERROR(VLOOKUP($C34,'Tantárgyi adatok'!B:D,2,FALSE),"nincs")</f>
        <v>Diplomatervezési</v>
      </c>
      <c r="E34" t="s">
        <v>434</v>
      </c>
      <c r="F34" t="s">
        <v>435</v>
      </c>
      <c r="G34" t="s">
        <v>376</v>
      </c>
      <c r="H34" t="str">
        <f>IFERROR(VLOOKUP($C34,'Tantárgyi adatok'!B:D,3,FALSE),"nincs")</f>
        <v>Mechatronikai mérnök</v>
      </c>
      <c r="I34" t="s">
        <v>189</v>
      </c>
    </row>
    <row r="35" spans="1:9" x14ac:dyDescent="0.25">
      <c r="A35" t="s">
        <v>190</v>
      </c>
      <c r="B35" t="s">
        <v>191</v>
      </c>
      <c r="C35" t="s">
        <v>17</v>
      </c>
      <c r="D35" t="str">
        <f>IFERROR(VLOOKUP($C35,'Tantárgyi adatok'!B:D,2,FALSE),"nincs")</f>
        <v>Diplomatervezési</v>
      </c>
      <c r="E35" t="s">
        <v>436</v>
      </c>
      <c r="F35" t="s">
        <v>437</v>
      </c>
      <c r="G35" t="s">
        <v>376</v>
      </c>
      <c r="H35" t="str">
        <f>IFERROR(VLOOKUP($C35,'Tantárgyi adatok'!B:D,3,FALSE),"nincs")</f>
        <v>Mechatronikai mérnök</v>
      </c>
      <c r="I35" t="s">
        <v>189</v>
      </c>
    </row>
    <row r="36" spans="1:9" x14ac:dyDescent="0.25">
      <c r="A36" t="s">
        <v>192</v>
      </c>
      <c r="B36" t="s">
        <v>193</v>
      </c>
      <c r="C36" t="s">
        <v>17</v>
      </c>
      <c r="D36" t="str">
        <f>IFERROR(VLOOKUP($C36,'Tantárgyi adatok'!B:D,2,FALSE),"nincs")</f>
        <v>Diplomatervezési</v>
      </c>
      <c r="E36" t="s">
        <v>438</v>
      </c>
      <c r="F36" t="s">
        <v>439</v>
      </c>
      <c r="G36" t="s">
        <v>376</v>
      </c>
      <c r="H36" t="str">
        <f>IFERROR(VLOOKUP($C36,'Tantárgyi adatok'!B:D,3,FALSE),"nincs")</f>
        <v>Mechatronikai mérnök</v>
      </c>
      <c r="I36" t="s">
        <v>177</v>
      </c>
    </row>
    <row r="37" spans="1:9" x14ac:dyDescent="0.25">
      <c r="A37" t="s">
        <v>197</v>
      </c>
      <c r="B37" t="s">
        <v>198</v>
      </c>
      <c r="C37" t="s">
        <v>39</v>
      </c>
      <c r="D37" t="str">
        <f>IFERROR(VLOOKUP($C37,'Tantárgyi adatok'!B:D,2,FALSE),"nincs")</f>
        <v>Szakdolgozat</v>
      </c>
      <c r="E37" t="s">
        <v>442</v>
      </c>
      <c r="F37" t="s">
        <v>443</v>
      </c>
      <c r="G37" t="s">
        <v>376</v>
      </c>
      <c r="H37" t="str">
        <f>IFERROR(VLOOKUP($C37,'Tantárgyi adatok'!B:D,3,FALSE),"nincs")</f>
        <v>Mechatronikai mérnök</v>
      </c>
      <c r="I37" t="s">
        <v>194</v>
      </c>
    </row>
    <row r="38" spans="1:9" x14ac:dyDescent="0.25">
      <c r="A38" t="s">
        <v>199</v>
      </c>
      <c r="B38" t="s">
        <v>200</v>
      </c>
      <c r="C38" t="s">
        <v>39</v>
      </c>
      <c r="D38" t="str">
        <f>IFERROR(VLOOKUP($C38,'Tantárgyi adatok'!B:D,2,FALSE),"nincs")</f>
        <v>Szakdolgozat</v>
      </c>
      <c r="E38" t="s">
        <v>444</v>
      </c>
      <c r="F38" t="s">
        <v>445</v>
      </c>
      <c r="G38" t="s">
        <v>376</v>
      </c>
      <c r="H38" t="str">
        <f>IFERROR(VLOOKUP($C38,'Tantárgyi adatok'!B:D,3,FALSE),"nincs")</f>
        <v>Mechatronikai mérnök</v>
      </c>
      <c r="I38" t="s">
        <v>112</v>
      </c>
    </row>
    <row r="39" spans="1:9" x14ac:dyDescent="0.25">
      <c r="A39" t="s">
        <v>201</v>
      </c>
      <c r="B39" t="s">
        <v>202</v>
      </c>
      <c r="C39" t="s">
        <v>39</v>
      </c>
      <c r="D39" t="str">
        <f>IFERROR(VLOOKUP($C39,'Tantárgyi adatok'!B:D,2,FALSE),"nincs")</f>
        <v>Szakdolgozat</v>
      </c>
      <c r="E39" t="s">
        <v>446</v>
      </c>
      <c r="F39" t="s">
        <v>447</v>
      </c>
      <c r="G39" t="s">
        <v>433</v>
      </c>
      <c r="H39" t="str">
        <f>IFERROR(VLOOKUP($C39,'Tantárgyi adatok'!B:D,3,FALSE),"nincs")</f>
        <v>Mechatronikai mérnök</v>
      </c>
      <c r="I39" t="s">
        <v>189</v>
      </c>
    </row>
    <row r="40" spans="1:9" x14ac:dyDescent="0.25">
      <c r="A40" t="s">
        <v>203</v>
      </c>
      <c r="B40" t="s">
        <v>204</v>
      </c>
      <c r="C40" t="s">
        <v>39</v>
      </c>
      <c r="D40" t="str">
        <f>IFERROR(VLOOKUP($C40,'Tantárgyi adatok'!B:D,2,FALSE),"nincs")</f>
        <v>Szakdolgozat</v>
      </c>
      <c r="E40" t="s">
        <v>448</v>
      </c>
      <c r="F40" t="s">
        <v>449</v>
      </c>
      <c r="G40" t="s">
        <v>433</v>
      </c>
      <c r="H40" t="str">
        <f>IFERROR(VLOOKUP($C40,'Tantárgyi adatok'!B:D,3,FALSE),"nincs")</f>
        <v>Mechatronikai mérnök</v>
      </c>
      <c r="I40" t="s">
        <v>176</v>
      </c>
    </row>
    <row r="41" spans="1:9" x14ac:dyDescent="0.25">
      <c r="A41" t="s">
        <v>205</v>
      </c>
      <c r="B41" t="s">
        <v>206</v>
      </c>
      <c r="C41" t="s">
        <v>39</v>
      </c>
      <c r="D41" t="str">
        <f>IFERROR(VLOOKUP($C41,'Tantárgyi adatok'!B:D,2,FALSE),"nincs")</f>
        <v>Szakdolgozat</v>
      </c>
      <c r="E41" t="s">
        <v>450</v>
      </c>
      <c r="F41" t="s">
        <v>451</v>
      </c>
      <c r="G41" t="s">
        <v>376</v>
      </c>
      <c r="H41" t="str">
        <f>IFERROR(VLOOKUP($C41,'Tantárgyi adatok'!B:D,3,FALSE),"nincs")</f>
        <v>Mechatronikai mérnök</v>
      </c>
      <c r="I41" t="s">
        <v>162</v>
      </c>
    </row>
    <row r="42" spans="1:9" x14ac:dyDescent="0.25">
      <c r="A42" t="s">
        <v>207</v>
      </c>
      <c r="B42" t="s">
        <v>208</v>
      </c>
      <c r="C42" t="s">
        <v>39</v>
      </c>
      <c r="D42" t="str">
        <f>IFERROR(VLOOKUP($C42,'Tantárgyi adatok'!B:D,2,FALSE),"nincs")</f>
        <v>Szakdolgozat</v>
      </c>
      <c r="E42" t="s">
        <v>452</v>
      </c>
      <c r="F42" t="s">
        <v>453</v>
      </c>
      <c r="G42" t="s">
        <v>376</v>
      </c>
      <c r="H42" t="str">
        <f>IFERROR(VLOOKUP($C42,'Tantárgyi adatok'!B:D,3,FALSE),"nincs")</f>
        <v>Mechatronikai mérnök</v>
      </c>
      <c r="I42" t="s">
        <v>189</v>
      </c>
    </row>
    <row r="43" spans="1:9" x14ac:dyDescent="0.25">
      <c r="A43" t="s">
        <v>209</v>
      </c>
      <c r="B43" t="s">
        <v>210</v>
      </c>
      <c r="C43" t="s">
        <v>39</v>
      </c>
      <c r="D43" t="str">
        <f>IFERROR(VLOOKUP($C43,'Tantárgyi adatok'!B:D,2,FALSE),"nincs")</f>
        <v>Szakdolgozat</v>
      </c>
      <c r="E43" t="s">
        <v>454</v>
      </c>
      <c r="F43" t="s">
        <v>455</v>
      </c>
      <c r="G43" t="s">
        <v>376</v>
      </c>
      <c r="H43" t="str">
        <f>IFERROR(VLOOKUP($C43,'Tantárgyi adatok'!B:D,3,FALSE),"nincs")</f>
        <v>Mechatronikai mérnök</v>
      </c>
      <c r="I43" t="s">
        <v>189</v>
      </c>
    </row>
    <row r="44" spans="1:9" x14ac:dyDescent="0.25">
      <c r="A44" t="s">
        <v>211</v>
      </c>
      <c r="B44" t="s">
        <v>212</v>
      </c>
      <c r="C44" t="s">
        <v>39</v>
      </c>
      <c r="D44" t="str">
        <f>IFERROR(VLOOKUP($C44,'Tantárgyi adatok'!B:D,2,FALSE),"nincs")</f>
        <v>Szakdolgozat</v>
      </c>
      <c r="E44" t="s">
        <v>456</v>
      </c>
      <c r="F44" t="s">
        <v>457</v>
      </c>
      <c r="G44" t="s">
        <v>376</v>
      </c>
      <c r="H44" t="str">
        <f>IFERROR(VLOOKUP($C44,'Tantárgyi adatok'!B:D,3,FALSE),"nincs")</f>
        <v>Mechatronikai mérnök</v>
      </c>
      <c r="I44" t="s">
        <v>168</v>
      </c>
    </row>
    <row r="45" spans="1:9" x14ac:dyDescent="0.25">
      <c r="A45" t="s">
        <v>213</v>
      </c>
      <c r="B45" t="s">
        <v>214</v>
      </c>
      <c r="C45" t="s">
        <v>39</v>
      </c>
      <c r="D45" t="str">
        <f>IFERROR(VLOOKUP($C45,'Tantárgyi adatok'!B:D,2,FALSE),"nincs")</f>
        <v>Szakdolgozat</v>
      </c>
      <c r="E45" t="s">
        <v>458</v>
      </c>
      <c r="F45" t="s">
        <v>459</v>
      </c>
      <c r="G45" t="s">
        <v>376</v>
      </c>
      <c r="H45" t="str">
        <f>IFERROR(VLOOKUP($C45,'Tantárgyi adatok'!B:D,3,FALSE),"nincs")</f>
        <v>Mechatronikai mérnök</v>
      </c>
      <c r="I45" t="s">
        <v>168</v>
      </c>
    </row>
    <row r="46" spans="1:9" x14ac:dyDescent="0.25">
      <c r="A46" t="s">
        <v>215</v>
      </c>
      <c r="B46" t="s">
        <v>216</v>
      </c>
      <c r="C46" t="s">
        <v>39</v>
      </c>
      <c r="D46" t="str">
        <f>IFERROR(VLOOKUP($C46,'Tantárgyi adatok'!B:D,2,FALSE),"nincs")</f>
        <v>Szakdolgozat</v>
      </c>
      <c r="E46" t="s">
        <v>460</v>
      </c>
      <c r="F46" t="s">
        <v>461</v>
      </c>
      <c r="G46" t="s">
        <v>376</v>
      </c>
      <c r="H46" t="str">
        <f>IFERROR(VLOOKUP($C46,'Tantárgyi adatok'!B:D,3,FALSE),"nincs")</f>
        <v>Mechatronikai mérnök</v>
      </c>
      <c r="I46" t="s">
        <v>150</v>
      </c>
    </row>
    <row r="47" spans="1:9" x14ac:dyDescent="0.25">
      <c r="A47" t="s">
        <v>217</v>
      </c>
      <c r="B47" t="s">
        <v>218</v>
      </c>
      <c r="C47" t="s">
        <v>39</v>
      </c>
      <c r="D47" t="str">
        <f>IFERROR(VLOOKUP($C47,'Tantárgyi adatok'!B:D,2,FALSE),"nincs")</f>
        <v>Szakdolgozat</v>
      </c>
      <c r="E47" t="s">
        <v>462</v>
      </c>
      <c r="F47" t="s">
        <v>463</v>
      </c>
      <c r="G47" t="s">
        <v>376</v>
      </c>
      <c r="H47" t="str">
        <f>IFERROR(VLOOKUP($C47,'Tantárgyi adatok'!B:D,3,FALSE),"nincs")</f>
        <v>Mechatronikai mérnök</v>
      </c>
      <c r="I47" t="s">
        <v>189</v>
      </c>
    </row>
    <row r="48" spans="1:9" x14ac:dyDescent="0.25">
      <c r="A48" t="s">
        <v>217</v>
      </c>
      <c r="B48" t="s">
        <v>218</v>
      </c>
      <c r="C48" t="s">
        <v>39</v>
      </c>
      <c r="D48" t="str">
        <f>IFERROR(VLOOKUP($C48,'Tantárgyi adatok'!B:D,2,FALSE),"nincs")</f>
        <v>Szakdolgozat</v>
      </c>
      <c r="E48" t="s">
        <v>462</v>
      </c>
      <c r="F48" t="s">
        <v>463</v>
      </c>
      <c r="G48" t="s">
        <v>376</v>
      </c>
      <c r="H48" t="str">
        <f>IFERROR(VLOOKUP($C48,'Tantárgyi adatok'!B:D,3,FALSE),"nincs")</f>
        <v>Mechatronikai mérnök</v>
      </c>
      <c r="I48" t="s">
        <v>219</v>
      </c>
    </row>
    <row r="49" spans="1:9" x14ac:dyDescent="0.25">
      <c r="A49" t="s">
        <v>220</v>
      </c>
      <c r="B49" t="s">
        <v>221</v>
      </c>
      <c r="C49" t="s">
        <v>39</v>
      </c>
      <c r="D49" t="str">
        <f>IFERROR(VLOOKUP($C49,'Tantárgyi adatok'!B:D,2,FALSE),"nincs")</f>
        <v>Szakdolgozat</v>
      </c>
      <c r="E49" t="s">
        <v>464</v>
      </c>
      <c r="F49" t="s">
        <v>465</v>
      </c>
      <c r="G49" t="s">
        <v>376</v>
      </c>
      <c r="H49" t="str">
        <f>IFERROR(VLOOKUP($C49,'Tantárgyi adatok'!B:D,3,FALSE),"nincs")</f>
        <v>Mechatronikai mérnök</v>
      </c>
      <c r="I49" t="s">
        <v>168</v>
      </c>
    </row>
    <row r="50" spans="1:9" x14ac:dyDescent="0.25">
      <c r="A50" t="s">
        <v>222</v>
      </c>
      <c r="B50" t="s">
        <v>223</v>
      </c>
      <c r="C50" t="s">
        <v>39</v>
      </c>
      <c r="D50" t="str">
        <f>IFERROR(VLOOKUP($C50,'Tantárgyi adatok'!B:D,2,FALSE),"nincs")</f>
        <v>Szakdolgozat</v>
      </c>
      <c r="E50" t="s">
        <v>466</v>
      </c>
      <c r="F50" t="s">
        <v>467</v>
      </c>
      <c r="G50" t="s">
        <v>376</v>
      </c>
      <c r="H50" t="str">
        <f>IFERROR(VLOOKUP($C50,'Tantárgyi adatok'!B:D,3,FALSE),"nincs")</f>
        <v>Mechatronikai mérnök</v>
      </c>
      <c r="I50" t="s">
        <v>189</v>
      </c>
    </row>
    <row r="51" spans="1:9" x14ac:dyDescent="0.25">
      <c r="A51" t="s">
        <v>224</v>
      </c>
      <c r="B51" t="s">
        <v>225</v>
      </c>
      <c r="C51" t="s">
        <v>39</v>
      </c>
      <c r="D51" t="str">
        <f>IFERROR(VLOOKUP($C51,'Tantárgyi adatok'!B:D,2,FALSE),"nincs")</f>
        <v>Szakdolgozat</v>
      </c>
      <c r="E51" t="s">
        <v>468</v>
      </c>
      <c r="F51" t="s">
        <v>469</v>
      </c>
      <c r="G51" t="s">
        <v>433</v>
      </c>
      <c r="H51" t="str">
        <f>IFERROR(VLOOKUP($C51,'Tantárgyi adatok'!B:D,3,FALSE),"nincs")</f>
        <v>Mechatronikai mérnök</v>
      </c>
      <c r="I51" t="s">
        <v>189</v>
      </c>
    </row>
    <row r="52" spans="1:9" x14ac:dyDescent="0.25">
      <c r="A52" t="s">
        <v>226</v>
      </c>
      <c r="B52" t="s">
        <v>227</v>
      </c>
      <c r="C52" t="s">
        <v>41</v>
      </c>
      <c r="D52" t="str">
        <f>IFERROR(VLOOKUP($C52,'Tantárgyi adatok'!B:D,2,FALSE),"nincs")</f>
        <v>Szakdolgozat</v>
      </c>
      <c r="E52" t="s">
        <v>470</v>
      </c>
      <c r="F52" t="s">
        <v>471</v>
      </c>
      <c r="G52" t="s">
        <v>376</v>
      </c>
      <c r="H52" t="str">
        <f>IFERROR(VLOOKUP($C52,'Tantárgyi adatok'!B:D,3,FALSE),"nincs")</f>
        <v>Villamosmérnök</v>
      </c>
      <c r="I52" t="s">
        <v>150</v>
      </c>
    </row>
    <row r="53" spans="1:9" x14ac:dyDescent="0.25">
      <c r="A53" t="s">
        <v>228</v>
      </c>
      <c r="B53" t="s">
        <v>229</v>
      </c>
      <c r="C53" t="s">
        <v>41</v>
      </c>
      <c r="D53" t="str">
        <f>IFERROR(VLOOKUP($C53,'Tantárgyi adatok'!B:D,2,FALSE),"nincs")</f>
        <v>Szakdolgozat</v>
      </c>
      <c r="E53" t="s">
        <v>472</v>
      </c>
      <c r="F53" t="s">
        <v>473</v>
      </c>
      <c r="G53" t="s">
        <v>433</v>
      </c>
      <c r="H53" t="str">
        <f>IFERROR(VLOOKUP($C53,'Tantárgyi adatok'!B:D,3,FALSE),"nincs")</f>
        <v>Villamosmérnök</v>
      </c>
      <c r="I53" t="s">
        <v>150</v>
      </c>
    </row>
    <row r="54" spans="1:9" x14ac:dyDescent="0.25">
      <c r="A54" t="s">
        <v>230</v>
      </c>
      <c r="B54" t="s">
        <v>231</v>
      </c>
      <c r="C54" t="s">
        <v>41</v>
      </c>
      <c r="D54" t="str">
        <f>IFERROR(VLOOKUP($C54,'Tantárgyi adatok'!B:D,2,FALSE),"nincs")</f>
        <v>Szakdolgozat</v>
      </c>
      <c r="E54" t="s">
        <v>474</v>
      </c>
      <c r="F54" t="s">
        <v>475</v>
      </c>
      <c r="G54" t="s">
        <v>376</v>
      </c>
      <c r="H54" t="str">
        <f>IFERROR(VLOOKUP($C54,'Tantárgyi adatok'!B:D,3,FALSE),"nincs")</f>
        <v>Villamosmérnök</v>
      </c>
      <c r="I54" t="s">
        <v>196</v>
      </c>
    </row>
    <row r="55" spans="1:9" x14ac:dyDescent="0.25">
      <c r="A55" t="s">
        <v>232</v>
      </c>
      <c r="B55" t="s">
        <v>233</v>
      </c>
      <c r="C55" t="s">
        <v>41</v>
      </c>
      <c r="D55" t="str">
        <f>IFERROR(VLOOKUP($C55,'Tantárgyi adatok'!B:D,2,FALSE),"nincs")</f>
        <v>Szakdolgozat</v>
      </c>
      <c r="E55" t="s">
        <v>476</v>
      </c>
      <c r="F55" t="s">
        <v>477</v>
      </c>
      <c r="G55" t="s">
        <v>433</v>
      </c>
      <c r="H55" t="str">
        <f>IFERROR(VLOOKUP($C55,'Tantárgyi adatok'!B:D,3,FALSE),"nincs")</f>
        <v>Villamosmérnök</v>
      </c>
      <c r="I55" t="s">
        <v>90</v>
      </c>
    </row>
    <row r="56" spans="1:9" x14ac:dyDescent="0.25">
      <c r="A56" t="s">
        <v>234</v>
      </c>
      <c r="B56" t="s">
        <v>235</v>
      </c>
      <c r="C56" t="s">
        <v>41</v>
      </c>
      <c r="D56" t="str">
        <f>IFERROR(VLOOKUP($C56,'Tantárgyi adatok'!B:D,2,FALSE),"nincs")</f>
        <v>Szakdolgozat</v>
      </c>
      <c r="E56" t="s">
        <v>478</v>
      </c>
      <c r="F56" t="s">
        <v>479</v>
      </c>
      <c r="G56" t="s">
        <v>376</v>
      </c>
      <c r="H56" t="str">
        <f>IFERROR(VLOOKUP($C56,'Tantárgyi adatok'!B:D,3,FALSE),"nincs")</f>
        <v>Villamosmérnök</v>
      </c>
      <c r="I56" t="s">
        <v>156</v>
      </c>
    </row>
    <row r="57" spans="1:9" x14ac:dyDescent="0.25">
      <c r="A57" t="s">
        <v>236</v>
      </c>
      <c r="B57" t="s">
        <v>237</v>
      </c>
      <c r="C57" t="s">
        <v>41</v>
      </c>
      <c r="D57" t="str">
        <f>IFERROR(VLOOKUP($C57,'Tantárgyi adatok'!B:D,2,FALSE),"nincs")</f>
        <v>Szakdolgozat</v>
      </c>
      <c r="E57" t="s">
        <v>480</v>
      </c>
      <c r="F57" t="s">
        <v>481</v>
      </c>
      <c r="G57" t="s">
        <v>433</v>
      </c>
      <c r="H57" t="str">
        <f>IFERROR(VLOOKUP($C57,'Tantárgyi adatok'!B:D,3,FALSE),"nincs")</f>
        <v>Villamosmérnök</v>
      </c>
      <c r="I57" t="s">
        <v>182</v>
      </c>
    </row>
    <row r="58" spans="1:9" x14ac:dyDescent="0.25">
      <c r="A58" t="s">
        <v>238</v>
      </c>
      <c r="B58" t="s">
        <v>239</v>
      </c>
      <c r="C58" t="s">
        <v>41</v>
      </c>
      <c r="D58" t="str">
        <f>IFERROR(VLOOKUP($C58,'Tantárgyi adatok'!B:D,2,FALSE),"nincs")</f>
        <v>Szakdolgozat</v>
      </c>
      <c r="E58" t="s">
        <v>482</v>
      </c>
      <c r="F58" t="s">
        <v>483</v>
      </c>
      <c r="G58" t="s">
        <v>376</v>
      </c>
      <c r="H58" t="str">
        <f>IFERROR(VLOOKUP($C58,'Tantárgyi adatok'!B:D,3,FALSE),"nincs")</f>
        <v>Villamosmérnök</v>
      </c>
      <c r="I58" t="s">
        <v>180</v>
      </c>
    </row>
    <row r="59" spans="1:9" x14ac:dyDescent="0.25">
      <c r="A59" t="s">
        <v>240</v>
      </c>
      <c r="B59" t="s">
        <v>241</v>
      </c>
      <c r="C59" t="s">
        <v>41</v>
      </c>
      <c r="D59" t="str">
        <f>IFERROR(VLOOKUP($C59,'Tantárgyi adatok'!B:D,2,FALSE),"nincs")</f>
        <v>Szakdolgozat</v>
      </c>
      <c r="E59" t="s">
        <v>484</v>
      </c>
      <c r="F59" t="s">
        <v>485</v>
      </c>
      <c r="G59" t="s">
        <v>376</v>
      </c>
      <c r="H59" t="str">
        <f>IFERROR(VLOOKUP($C59,'Tantárgyi adatok'!B:D,3,FALSE),"nincs")</f>
        <v>Villamosmérnök</v>
      </c>
      <c r="I59" t="s">
        <v>147</v>
      </c>
    </row>
    <row r="60" spans="1:9" x14ac:dyDescent="0.25">
      <c r="A60" t="s">
        <v>242</v>
      </c>
      <c r="B60" t="s">
        <v>243</v>
      </c>
      <c r="C60" t="s">
        <v>41</v>
      </c>
      <c r="D60" t="str">
        <f>IFERROR(VLOOKUP($C60,'Tantárgyi adatok'!B:D,2,FALSE),"nincs")</f>
        <v>Szakdolgozat</v>
      </c>
      <c r="E60" t="s">
        <v>486</v>
      </c>
      <c r="F60" t="s">
        <v>487</v>
      </c>
      <c r="G60" t="s">
        <v>433</v>
      </c>
      <c r="H60" t="str">
        <f>IFERROR(VLOOKUP($C60,'Tantárgyi adatok'!B:D,3,FALSE),"nincs")</f>
        <v>Villamosmérnök</v>
      </c>
      <c r="I60" t="s">
        <v>112</v>
      </c>
    </row>
    <row r="61" spans="1:9" x14ac:dyDescent="0.25">
      <c r="A61" t="s">
        <v>244</v>
      </c>
      <c r="B61" t="s">
        <v>245</v>
      </c>
      <c r="C61" t="s">
        <v>41</v>
      </c>
      <c r="D61" t="str">
        <f>IFERROR(VLOOKUP($C61,'Tantárgyi adatok'!B:D,2,FALSE),"nincs")</f>
        <v>Szakdolgozat</v>
      </c>
      <c r="E61" t="s">
        <v>488</v>
      </c>
      <c r="F61" t="s">
        <v>489</v>
      </c>
      <c r="G61" t="s">
        <v>376</v>
      </c>
      <c r="H61" t="str">
        <f>IFERROR(VLOOKUP($C61,'Tantárgyi adatok'!B:D,3,FALSE),"nincs")</f>
        <v>Villamosmérnök</v>
      </c>
      <c r="I61" t="s">
        <v>171</v>
      </c>
    </row>
    <row r="62" spans="1:9" x14ac:dyDescent="0.25">
      <c r="A62" t="s">
        <v>246</v>
      </c>
      <c r="B62" t="s">
        <v>247</v>
      </c>
      <c r="C62" t="s">
        <v>41</v>
      </c>
      <c r="D62" t="str">
        <f>IFERROR(VLOOKUP($C62,'Tantárgyi adatok'!B:D,2,FALSE),"nincs")</f>
        <v>Szakdolgozat</v>
      </c>
      <c r="E62" t="s">
        <v>490</v>
      </c>
      <c r="F62" t="s">
        <v>491</v>
      </c>
      <c r="G62" t="s">
        <v>433</v>
      </c>
      <c r="H62" t="str">
        <f>IFERROR(VLOOKUP($C62,'Tantárgyi adatok'!B:D,3,FALSE),"nincs")</f>
        <v>Villamosmérnök</v>
      </c>
      <c r="I62" t="s">
        <v>186</v>
      </c>
    </row>
    <row r="63" spans="1:9" x14ac:dyDescent="0.25">
      <c r="A63" t="s">
        <v>248</v>
      </c>
      <c r="B63" t="s">
        <v>249</v>
      </c>
      <c r="C63" t="s">
        <v>41</v>
      </c>
      <c r="D63" t="str">
        <f>IFERROR(VLOOKUP($C63,'Tantárgyi adatok'!B:D,2,FALSE),"nincs")</f>
        <v>Szakdolgozat</v>
      </c>
      <c r="E63" t="s">
        <v>492</v>
      </c>
      <c r="F63" t="s">
        <v>493</v>
      </c>
      <c r="G63" t="s">
        <v>376</v>
      </c>
      <c r="H63" t="str">
        <f>IFERROR(VLOOKUP($C63,'Tantárgyi adatok'!B:D,3,FALSE),"nincs")</f>
        <v>Villamosmérnök</v>
      </c>
      <c r="I63" t="s">
        <v>183</v>
      </c>
    </row>
    <row r="64" spans="1:9" x14ac:dyDescent="0.25">
      <c r="A64" t="s">
        <v>250</v>
      </c>
      <c r="B64" t="s">
        <v>251</v>
      </c>
      <c r="C64" t="s">
        <v>41</v>
      </c>
      <c r="D64" t="str">
        <f>IFERROR(VLOOKUP($C64,'Tantárgyi adatok'!B:D,2,FALSE),"nincs")</f>
        <v>Szakdolgozat</v>
      </c>
      <c r="E64" t="s">
        <v>494</v>
      </c>
      <c r="F64" t="s">
        <v>495</v>
      </c>
      <c r="G64" t="s">
        <v>376</v>
      </c>
      <c r="H64" t="str">
        <f>IFERROR(VLOOKUP($C64,'Tantárgyi adatok'!B:D,3,FALSE),"nincs")</f>
        <v>Villamosmérnök</v>
      </c>
      <c r="I64" t="s">
        <v>128</v>
      </c>
    </row>
    <row r="65" spans="1:9" x14ac:dyDescent="0.25">
      <c r="A65" t="s">
        <v>252</v>
      </c>
      <c r="B65" t="s">
        <v>253</v>
      </c>
      <c r="C65" t="s">
        <v>41</v>
      </c>
      <c r="D65" t="str">
        <f>IFERROR(VLOOKUP($C65,'Tantárgyi adatok'!B:D,2,FALSE),"nincs")</f>
        <v>Szakdolgozat</v>
      </c>
      <c r="E65" t="s">
        <v>496</v>
      </c>
      <c r="F65" t="s">
        <v>497</v>
      </c>
      <c r="G65" t="s">
        <v>376</v>
      </c>
      <c r="H65" t="str">
        <f>IFERROR(VLOOKUP($C65,'Tantárgyi adatok'!B:D,3,FALSE),"nincs")</f>
        <v>Villamosmérnök</v>
      </c>
      <c r="I65" t="s">
        <v>162</v>
      </c>
    </row>
    <row r="66" spans="1:9" x14ac:dyDescent="0.25">
      <c r="A66" t="s">
        <v>254</v>
      </c>
      <c r="B66" t="s">
        <v>255</v>
      </c>
      <c r="C66" t="s">
        <v>41</v>
      </c>
      <c r="D66" t="str">
        <f>IFERROR(VLOOKUP($C66,'Tantárgyi adatok'!B:D,2,FALSE),"nincs")</f>
        <v>Szakdolgozat</v>
      </c>
      <c r="E66" t="s">
        <v>498</v>
      </c>
      <c r="F66" t="s">
        <v>498</v>
      </c>
      <c r="G66" t="s">
        <v>433</v>
      </c>
      <c r="H66" t="str">
        <f>IFERROR(VLOOKUP($C66,'Tantárgyi adatok'!B:D,3,FALSE),"nincs")</f>
        <v>Villamosmérnök</v>
      </c>
      <c r="I66" t="s">
        <v>185</v>
      </c>
    </row>
    <row r="67" spans="1:9" x14ac:dyDescent="0.25">
      <c r="A67" t="s">
        <v>256</v>
      </c>
      <c r="B67" t="s">
        <v>257</v>
      </c>
      <c r="C67" t="s">
        <v>41</v>
      </c>
      <c r="D67" t="str">
        <f>IFERROR(VLOOKUP($C67,'Tantárgyi adatok'!B:D,2,FALSE),"nincs")</f>
        <v>Szakdolgozat</v>
      </c>
      <c r="E67" t="s">
        <v>499</v>
      </c>
      <c r="F67" t="s">
        <v>500</v>
      </c>
      <c r="G67" t="s">
        <v>376</v>
      </c>
      <c r="H67" t="str">
        <f>IFERROR(VLOOKUP($C67,'Tantárgyi adatok'!B:D,3,FALSE),"nincs")</f>
        <v>Villamosmérnök</v>
      </c>
      <c r="I67" t="s">
        <v>128</v>
      </c>
    </row>
    <row r="68" spans="1:9" x14ac:dyDescent="0.25">
      <c r="A68" t="s">
        <v>258</v>
      </c>
      <c r="B68" t="s">
        <v>259</v>
      </c>
      <c r="C68" t="s">
        <v>41</v>
      </c>
      <c r="D68" t="str">
        <f>IFERROR(VLOOKUP($C68,'Tantárgyi adatok'!B:D,2,FALSE),"nincs")</f>
        <v>Szakdolgozat</v>
      </c>
      <c r="E68" t="s">
        <v>501</v>
      </c>
      <c r="F68" t="s">
        <v>502</v>
      </c>
      <c r="G68" t="s">
        <v>376</v>
      </c>
      <c r="H68" t="str">
        <f>IFERROR(VLOOKUP($C68,'Tantárgyi adatok'!B:D,3,FALSE),"nincs")</f>
        <v>Villamosmérnök</v>
      </c>
      <c r="I68" t="s">
        <v>184</v>
      </c>
    </row>
    <row r="69" spans="1:9" x14ac:dyDescent="0.25">
      <c r="A69" t="s">
        <v>260</v>
      </c>
      <c r="B69" t="s">
        <v>261</v>
      </c>
      <c r="C69" t="s">
        <v>41</v>
      </c>
      <c r="D69" t="str">
        <f>IFERROR(VLOOKUP($C69,'Tantárgyi adatok'!B:D,2,FALSE),"nincs")</f>
        <v>Szakdolgozat</v>
      </c>
      <c r="E69" t="s">
        <v>503</v>
      </c>
      <c r="F69" t="s">
        <v>504</v>
      </c>
      <c r="G69" t="s">
        <v>376</v>
      </c>
      <c r="H69" t="str">
        <f>IFERROR(VLOOKUP($C69,'Tantárgyi adatok'!B:D,3,FALSE),"nincs")</f>
        <v>Villamosmérnök</v>
      </c>
      <c r="I69" t="s">
        <v>181</v>
      </c>
    </row>
    <row r="70" spans="1:9" x14ac:dyDescent="0.25">
      <c r="A70" t="s">
        <v>262</v>
      </c>
      <c r="B70" t="s">
        <v>263</v>
      </c>
      <c r="C70" t="s">
        <v>41</v>
      </c>
      <c r="D70" t="str">
        <f>IFERROR(VLOOKUP($C70,'Tantárgyi adatok'!B:D,2,FALSE),"nincs")</f>
        <v>Szakdolgozat</v>
      </c>
      <c r="E70" t="s">
        <v>505</v>
      </c>
      <c r="F70" t="s">
        <v>506</v>
      </c>
      <c r="G70" t="s">
        <v>376</v>
      </c>
      <c r="H70" t="str">
        <f>IFERROR(VLOOKUP($C70,'Tantárgyi adatok'!B:D,3,FALSE),"nincs")</f>
        <v>Villamosmérnök</v>
      </c>
      <c r="I70" t="s">
        <v>181</v>
      </c>
    </row>
    <row r="71" spans="1:9" x14ac:dyDescent="0.25">
      <c r="A71" t="s">
        <v>264</v>
      </c>
      <c r="B71" t="s">
        <v>265</v>
      </c>
      <c r="C71" t="s">
        <v>41</v>
      </c>
      <c r="D71" t="str">
        <f>IFERROR(VLOOKUP($C71,'Tantárgyi adatok'!B:D,2,FALSE),"nincs")</f>
        <v>Szakdolgozat</v>
      </c>
      <c r="E71" t="s">
        <v>507</v>
      </c>
      <c r="F71" t="s">
        <v>508</v>
      </c>
      <c r="G71" t="s">
        <v>376</v>
      </c>
      <c r="H71" t="str">
        <f>IFERROR(VLOOKUP($C71,'Tantárgyi adatok'!B:D,3,FALSE),"nincs")</f>
        <v>Villamosmérnök</v>
      </c>
      <c r="I71" t="s">
        <v>196</v>
      </c>
    </row>
    <row r="72" spans="1:9" x14ac:dyDescent="0.25">
      <c r="A72" t="s">
        <v>266</v>
      </c>
      <c r="B72" t="s">
        <v>267</v>
      </c>
      <c r="C72" t="s">
        <v>41</v>
      </c>
      <c r="D72" t="str">
        <f>IFERROR(VLOOKUP($C72,'Tantárgyi adatok'!B:D,2,FALSE),"nincs")</f>
        <v>Szakdolgozat</v>
      </c>
      <c r="E72" t="s">
        <v>509</v>
      </c>
      <c r="F72" t="s">
        <v>510</v>
      </c>
      <c r="G72" t="s">
        <v>376</v>
      </c>
      <c r="H72" t="str">
        <f>IFERROR(VLOOKUP($C72,'Tantárgyi adatok'!B:D,3,FALSE),"nincs")</f>
        <v>Villamosmérnök</v>
      </c>
      <c r="I72" t="s">
        <v>196</v>
      </c>
    </row>
    <row r="73" spans="1:9" x14ac:dyDescent="0.25">
      <c r="A73" t="s">
        <v>268</v>
      </c>
      <c r="B73" t="s">
        <v>269</v>
      </c>
      <c r="C73" t="s">
        <v>41</v>
      </c>
      <c r="D73" t="str">
        <f>IFERROR(VLOOKUP($C73,'Tantárgyi adatok'!B:D,2,FALSE),"nincs")</f>
        <v>Szakdolgozat</v>
      </c>
      <c r="E73" t="s">
        <v>511</v>
      </c>
      <c r="F73" t="s">
        <v>512</v>
      </c>
      <c r="G73" t="s">
        <v>376</v>
      </c>
      <c r="H73" t="str">
        <f>IFERROR(VLOOKUP($C73,'Tantárgyi adatok'!B:D,3,FALSE),"nincs")</f>
        <v>Villamosmérnök</v>
      </c>
      <c r="I73" t="s">
        <v>150</v>
      </c>
    </row>
    <row r="74" spans="1:9" x14ac:dyDescent="0.25">
      <c r="A74" t="s">
        <v>270</v>
      </c>
      <c r="B74" t="s">
        <v>271</v>
      </c>
      <c r="C74" t="s">
        <v>41</v>
      </c>
      <c r="D74" t="str">
        <f>IFERROR(VLOOKUP($C74,'Tantárgyi adatok'!B:D,2,FALSE),"nincs")</f>
        <v>Szakdolgozat</v>
      </c>
      <c r="E74" t="s">
        <v>513</v>
      </c>
      <c r="F74" t="s">
        <v>514</v>
      </c>
      <c r="G74" t="s">
        <v>376</v>
      </c>
      <c r="H74" t="str">
        <f>IFERROR(VLOOKUP($C74,'Tantárgyi adatok'!B:D,3,FALSE),"nincs")</f>
        <v>Villamosmérnök</v>
      </c>
      <c r="I74" t="s">
        <v>272</v>
      </c>
    </row>
    <row r="75" spans="1:9" x14ac:dyDescent="0.25">
      <c r="A75" t="s">
        <v>270</v>
      </c>
      <c r="B75" t="s">
        <v>271</v>
      </c>
      <c r="C75" t="s">
        <v>41</v>
      </c>
      <c r="D75" t="str">
        <f>IFERROR(VLOOKUP($C75,'Tantárgyi adatok'!B:D,2,FALSE),"nincs")</f>
        <v>Szakdolgozat</v>
      </c>
      <c r="E75" t="s">
        <v>513</v>
      </c>
      <c r="F75" t="s">
        <v>514</v>
      </c>
      <c r="G75" t="s">
        <v>376</v>
      </c>
      <c r="H75" t="str">
        <f>IFERROR(VLOOKUP($C75,'Tantárgyi adatok'!B:D,3,FALSE),"nincs")</f>
        <v>Villamosmérnök</v>
      </c>
      <c r="I75" t="s">
        <v>273</v>
      </c>
    </row>
    <row r="76" spans="1:9" x14ac:dyDescent="0.25">
      <c r="A76" t="s">
        <v>274</v>
      </c>
      <c r="B76" t="s">
        <v>275</v>
      </c>
      <c r="C76" t="s">
        <v>41</v>
      </c>
      <c r="D76" t="str">
        <f>IFERROR(VLOOKUP($C76,'Tantárgyi adatok'!B:D,2,FALSE),"nincs")</f>
        <v>Szakdolgozat</v>
      </c>
      <c r="E76" t="s">
        <v>515</v>
      </c>
      <c r="F76" t="s">
        <v>516</v>
      </c>
      <c r="G76" t="s">
        <v>376</v>
      </c>
      <c r="H76" t="str">
        <f>IFERROR(VLOOKUP($C76,'Tantárgyi adatok'!B:D,3,FALSE),"nincs")</f>
        <v>Villamosmérnök</v>
      </c>
      <c r="I76" t="s">
        <v>272</v>
      </c>
    </row>
    <row r="77" spans="1:9" x14ac:dyDescent="0.25">
      <c r="A77" t="s">
        <v>274</v>
      </c>
      <c r="B77" t="s">
        <v>275</v>
      </c>
      <c r="C77" t="s">
        <v>41</v>
      </c>
      <c r="D77" t="str">
        <f>IFERROR(VLOOKUP($C77,'Tantárgyi adatok'!B:D,2,FALSE),"nincs")</f>
        <v>Szakdolgozat</v>
      </c>
      <c r="E77" t="s">
        <v>515</v>
      </c>
      <c r="F77" t="s">
        <v>516</v>
      </c>
      <c r="G77" t="s">
        <v>376</v>
      </c>
      <c r="H77" t="str">
        <f>IFERROR(VLOOKUP($C77,'Tantárgyi adatok'!B:D,3,FALSE),"nincs")</f>
        <v>Villamosmérnök</v>
      </c>
      <c r="I77" t="s">
        <v>273</v>
      </c>
    </row>
    <row r="78" spans="1:9" x14ac:dyDescent="0.25">
      <c r="A78" t="s">
        <v>276</v>
      </c>
      <c r="B78" t="s">
        <v>277</v>
      </c>
      <c r="C78" t="s">
        <v>41</v>
      </c>
      <c r="D78" t="str">
        <f>IFERROR(VLOOKUP($C78,'Tantárgyi adatok'!B:D,2,FALSE),"nincs")</f>
        <v>Szakdolgozat</v>
      </c>
      <c r="E78" t="s">
        <v>517</v>
      </c>
      <c r="F78" t="s">
        <v>518</v>
      </c>
      <c r="G78" t="s">
        <v>376</v>
      </c>
      <c r="H78" t="str">
        <f>IFERROR(VLOOKUP($C78,'Tantárgyi adatok'!B:D,3,FALSE),"nincs")</f>
        <v>Villamosmérnök</v>
      </c>
      <c r="I78" t="s">
        <v>219</v>
      </c>
    </row>
    <row r="79" spans="1:9" x14ac:dyDescent="0.25">
      <c r="A79" t="s">
        <v>278</v>
      </c>
      <c r="B79" t="s">
        <v>279</v>
      </c>
      <c r="C79" t="s">
        <v>41</v>
      </c>
      <c r="D79" t="str">
        <f>IFERROR(VLOOKUP($C79,'Tantárgyi adatok'!B:D,2,FALSE),"nincs")</f>
        <v>Szakdolgozat</v>
      </c>
      <c r="E79" t="s">
        <v>519</v>
      </c>
      <c r="F79" t="s">
        <v>520</v>
      </c>
      <c r="G79" t="s">
        <v>376</v>
      </c>
      <c r="H79" t="str">
        <f>IFERROR(VLOOKUP($C79,'Tantárgyi adatok'!B:D,3,FALSE),"nincs")</f>
        <v>Villamosmérnök</v>
      </c>
      <c r="I79" t="s">
        <v>184</v>
      </c>
    </row>
    <row r="80" spans="1:9" x14ac:dyDescent="0.25">
      <c r="A80" t="s">
        <v>280</v>
      </c>
      <c r="B80" t="s">
        <v>281</v>
      </c>
      <c r="C80" t="s">
        <v>41</v>
      </c>
      <c r="D80" t="str">
        <f>IFERROR(VLOOKUP($C80,'Tantárgyi adatok'!B:D,2,FALSE),"nincs")</f>
        <v>Szakdolgozat</v>
      </c>
      <c r="E80" t="s">
        <v>521</v>
      </c>
      <c r="F80" t="s">
        <v>441</v>
      </c>
      <c r="G80" t="s">
        <v>376</v>
      </c>
      <c r="H80" t="str">
        <f>IFERROR(VLOOKUP($C80,'Tantárgyi adatok'!B:D,3,FALSE),"nincs")</f>
        <v>Villamosmérnök</v>
      </c>
      <c r="I80" t="s">
        <v>181</v>
      </c>
    </row>
    <row r="81" spans="1:9" x14ac:dyDescent="0.25">
      <c r="A81" t="s">
        <v>282</v>
      </c>
      <c r="B81" t="s">
        <v>283</v>
      </c>
      <c r="C81" t="s">
        <v>41</v>
      </c>
      <c r="D81" t="str">
        <f>IFERROR(VLOOKUP($C81,'Tantárgyi adatok'!B:D,2,FALSE),"nincs")</f>
        <v>Szakdolgozat</v>
      </c>
      <c r="E81" t="s">
        <v>522</v>
      </c>
      <c r="F81" t="s">
        <v>523</v>
      </c>
      <c r="G81" t="s">
        <v>376</v>
      </c>
      <c r="H81" t="str">
        <f>IFERROR(VLOOKUP($C81,'Tantárgyi adatok'!B:D,3,FALSE),"nincs")</f>
        <v>Villamosmérnök</v>
      </c>
      <c r="I81" t="s">
        <v>183</v>
      </c>
    </row>
    <row r="82" spans="1:9" x14ac:dyDescent="0.25">
      <c r="A82" t="s">
        <v>284</v>
      </c>
      <c r="B82" t="s">
        <v>285</v>
      </c>
      <c r="C82" t="s">
        <v>41</v>
      </c>
      <c r="D82" t="str">
        <f>IFERROR(VLOOKUP($C82,'Tantárgyi adatok'!B:D,2,FALSE),"nincs")</f>
        <v>Szakdolgozat</v>
      </c>
      <c r="E82" t="s">
        <v>524</v>
      </c>
      <c r="F82" t="s">
        <v>525</v>
      </c>
      <c r="G82" t="s">
        <v>376</v>
      </c>
      <c r="H82" t="str">
        <f>IFERROR(VLOOKUP($C82,'Tantárgyi adatok'!B:D,3,FALSE),"nincs")</f>
        <v>Villamosmérnök</v>
      </c>
      <c r="I82" t="s">
        <v>162</v>
      </c>
    </row>
    <row r="83" spans="1:9" x14ac:dyDescent="0.25">
      <c r="A83" t="s">
        <v>286</v>
      </c>
      <c r="B83" t="s">
        <v>287</v>
      </c>
      <c r="C83" t="s">
        <v>41</v>
      </c>
      <c r="D83" t="str">
        <f>IFERROR(VLOOKUP($C83,'Tantárgyi adatok'!B:D,2,FALSE),"nincs")</f>
        <v>Szakdolgozat</v>
      </c>
      <c r="E83" t="s">
        <v>526</v>
      </c>
      <c r="F83" t="s">
        <v>527</v>
      </c>
      <c r="G83" t="s">
        <v>376</v>
      </c>
      <c r="H83" t="str">
        <f>IFERROR(VLOOKUP($C83,'Tantárgyi adatok'!B:D,3,FALSE),"nincs")</f>
        <v>Villamosmérnök</v>
      </c>
      <c r="I83" t="s">
        <v>162</v>
      </c>
    </row>
    <row r="84" spans="1:9" x14ac:dyDescent="0.25">
      <c r="A84" t="s">
        <v>288</v>
      </c>
      <c r="B84" t="s">
        <v>289</v>
      </c>
      <c r="C84" t="s">
        <v>41</v>
      </c>
      <c r="D84" t="str">
        <f>IFERROR(VLOOKUP($C84,'Tantárgyi adatok'!B:D,2,FALSE),"nincs")</f>
        <v>Szakdolgozat</v>
      </c>
      <c r="E84" t="s">
        <v>528</v>
      </c>
      <c r="F84" t="s">
        <v>529</v>
      </c>
      <c r="G84" t="s">
        <v>376</v>
      </c>
      <c r="H84" t="str">
        <f>IFERROR(VLOOKUP($C84,'Tantárgyi adatok'!B:D,3,FALSE),"nincs")</f>
        <v>Villamosmérnök</v>
      </c>
      <c r="I84" t="s">
        <v>175</v>
      </c>
    </row>
    <row r="85" spans="1:9" x14ac:dyDescent="0.25">
      <c r="A85" t="s">
        <v>290</v>
      </c>
      <c r="B85" t="s">
        <v>291</v>
      </c>
      <c r="C85" t="s">
        <v>43</v>
      </c>
      <c r="D85" t="str">
        <f>IFERROR(VLOOKUP($C85,'Tantárgyi adatok'!B:D,2,FALSE),"nincs")</f>
        <v>Szakdolgozat</v>
      </c>
      <c r="E85" t="s">
        <v>530</v>
      </c>
      <c r="F85" t="s">
        <v>531</v>
      </c>
      <c r="G85" t="s">
        <v>376</v>
      </c>
      <c r="H85" t="str">
        <f>IFERROR(VLOOKUP($C85,'Tantárgyi adatok'!B:D,3,FALSE),"nincs")</f>
        <v>Villamosmérnök</v>
      </c>
      <c r="I85" t="s">
        <v>195</v>
      </c>
    </row>
    <row r="86" spans="1:9" x14ac:dyDescent="0.25">
      <c r="A86" t="s">
        <v>292</v>
      </c>
      <c r="B86" t="s">
        <v>293</v>
      </c>
      <c r="C86" t="s">
        <v>43</v>
      </c>
      <c r="D86" t="str">
        <f>IFERROR(VLOOKUP($C86,'Tantárgyi adatok'!B:D,2,FALSE),"nincs")</f>
        <v>Szakdolgozat</v>
      </c>
      <c r="E86" t="s">
        <v>532</v>
      </c>
      <c r="F86" t="s">
        <v>533</v>
      </c>
      <c r="G86" t="s">
        <v>376</v>
      </c>
      <c r="H86" t="str">
        <f>IFERROR(VLOOKUP($C86,'Tantárgyi adatok'!B:D,3,FALSE),"nincs")</f>
        <v>Villamosmérnök</v>
      </c>
      <c r="I86" t="s">
        <v>128</v>
      </c>
    </row>
    <row r="87" spans="1:9" x14ac:dyDescent="0.25">
      <c r="A87" t="s">
        <v>294</v>
      </c>
      <c r="B87" t="s">
        <v>295</v>
      </c>
      <c r="C87" t="s">
        <v>45</v>
      </c>
      <c r="D87" t="str">
        <f>IFERROR(VLOOKUP($C87,'Tantárgyi adatok'!B:D,2,FALSE),"nincs")</f>
        <v>Szakdolgozat</v>
      </c>
      <c r="E87" t="s">
        <v>534</v>
      </c>
      <c r="F87" t="s">
        <v>535</v>
      </c>
      <c r="G87" t="s">
        <v>376</v>
      </c>
      <c r="H87" t="str">
        <f>IFERROR(VLOOKUP($C87,'Tantárgyi adatok'!B:D,3,FALSE),"nincs")</f>
        <v>Mérnökinformatikus</v>
      </c>
      <c r="I87" t="s">
        <v>85</v>
      </c>
    </row>
    <row r="88" spans="1:9" x14ac:dyDescent="0.25">
      <c r="A88" t="s">
        <v>296</v>
      </c>
      <c r="B88" t="s">
        <v>297</v>
      </c>
      <c r="C88" t="s">
        <v>45</v>
      </c>
      <c r="D88" t="str">
        <f>IFERROR(VLOOKUP($C88,'Tantárgyi adatok'!B:D,2,FALSE),"nincs")</f>
        <v>Szakdolgozat</v>
      </c>
      <c r="E88" t="s">
        <v>536</v>
      </c>
      <c r="F88" t="s">
        <v>537</v>
      </c>
      <c r="G88" t="s">
        <v>376</v>
      </c>
      <c r="H88" t="str">
        <f>IFERROR(VLOOKUP($C88,'Tantárgyi adatok'!B:D,3,FALSE),"nincs")</f>
        <v>Mérnökinformatikus</v>
      </c>
      <c r="I88" t="s">
        <v>85</v>
      </c>
    </row>
    <row r="89" spans="1:9" x14ac:dyDescent="0.25">
      <c r="A89" t="s">
        <v>298</v>
      </c>
      <c r="B89" t="s">
        <v>299</v>
      </c>
      <c r="C89" t="s">
        <v>45</v>
      </c>
      <c r="D89" t="str">
        <f>IFERROR(VLOOKUP($C89,'Tantárgyi adatok'!B:D,2,FALSE),"nincs")</f>
        <v>Szakdolgozat</v>
      </c>
      <c r="E89" t="s">
        <v>538</v>
      </c>
      <c r="F89" t="s">
        <v>539</v>
      </c>
      <c r="G89" t="s">
        <v>376</v>
      </c>
      <c r="H89" t="str">
        <f>IFERROR(VLOOKUP($C89,'Tantárgyi adatok'!B:D,3,FALSE),"nincs")</f>
        <v>Mérnökinformatikus</v>
      </c>
      <c r="I89" t="s">
        <v>194</v>
      </c>
    </row>
    <row r="90" spans="1:9" x14ac:dyDescent="0.25">
      <c r="A90" t="s">
        <v>300</v>
      </c>
      <c r="B90" t="s">
        <v>301</v>
      </c>
      <c r="C90" t="s">
        <v>45</v>
      </c>
      <c r="D90" t="str">
        <f>IFERROR(VLOOKUP($C90,'Tantárgyi adatok'!B:D,2,FALSE),"nincs")</f>
        <v>Szakdolgozat</v>
      </c>
      <c r="E90" t="s">
        <v>540</v>
      </c>
      <c r="F90" t="s">
        <v>541</v>
      </c>
      <c r="G90" t="s">
        <v>376</v>
      </c>
      <c r="H90" t="str">
        <f>IFERROR(VLOOKUP($C90,'Tantárgyi adatok'!B:D,3,FALSE),"nincs")</f>
        <v>Mérnökinformatikus</v>
      </c>
      <c r="I90" t="s">
        <v>173</v>
      </c>
    </row>
    <row r="91" spans="1:9" x14ac:dyDescent="0.25">
      <c r="A91" t="s">
        <v>302</v>
      </c>
      <c r="B91" t="s">
        <v>303</v>
      </c>
      <c r="C91" t="s">
        <v>45</v>
      </c>
      <c r="D91" t="str">
        <f>IFERROR(VLOOKUP($C91,'Tantárgyi adatok'!B:D,2,FALSE),"nincs")</f>
        <v>Szakdolgozat</v>
      </c>
      <c r="E91" t="s">
        <v>542</v>
      </c>
      <c r="F91" t="s">
        <v>543</v>
      </c>
      <c r="G91" t="s">
        <v>376</v>
      </c>
      <c r="H91" t="str">
        <f>IFERROR(VLOOKUP($C91,'Tantárgyi adatok'!B:D,3,FALSE),"nincs")</f>
        <v>Mérnökinformatikus</v>
      </c>
      <c r="I91" t="s">
        <v>174</v>
      </c>
    </row>
    <row r="92" spans="1:9" x14ac:dyDescent="0.25">
      <c r="A92" t="s">
        <v>304</v>
      </c>
      <c r="B92" t="s">
        <v>305</v>
      </c>
      <c r="C92" t="s">
        <v>45</v>
      </c>
      <c r="D92" t="str">
        <f>IFERROR(VLOOKUP($C92,'Tantárgyi adatok'!B:D,2,FALSE),"nincs")</f>
        <v>Szakdolgozat</v>
      </c>
      <c r="E92" t="s">
        <v>544</v>
      </c>
      <c r="F92" t="s">
        <v>545</v>
      </c>
      <c r="G92" t="s">
        <v>376</v>
      </c>
      <c r="H92" t="str">
        <f>IFERROR(VLOOKUP($C92,'Tantárgyi adatok'!B:D,3,FALSE),"nincs")</f>
        <v>Mérnökinformatikus</v>
      </c>
      <c r="I92" t="s">
        <v>174</v>
      </c>
    </row>
    <row r="93" spans="1:9" x14ac:dyDescent="0.25">
      <c r="A93" t="s">
        <v>306</v>
      </c>
      <c r="B93" t="s">
        <v>307</v>
      </c>
      <c r="C93" t="s">
        <v>45</v>
      </c>
      <c r="D93" t="str">
        <f>IFERROR(VLOOKUP($C93,'Tantárgyi adatok'!B:D,2,FALSE),"nincs")</f>
        <v>Szakdolgozat</v>
      </c>
      <c r="E93" t="s">
        <v>546</v>
      </c>
      <c r="F93" t="s">
        <v>547</v>
      </c>
      <c r="G93" t="s">
        <v>376</v>
      </c>
      <c r="H93" t="str">
        <f>IFERROR(VLOOKUP($C93,'Tantárgyi adatok'!B:D,3,FALSE),"nincs")</f>
        <v>Mérnökinformatikus</v>
      </c>
      <c r="I93" t="s">
        <v>174</v>
      </c>
    </row>
    <row r="94" spans="1:9" x14ac:dyDescent="0.25">
      <c r="A94" t="s">
        <v>308</v>
      </c>
      <c r="B94" t="s">
        <v>309</v>
      </c>
      <c r="C94" t="s">
        <v>45</v>
      </c>
      <c r="D94" t="str">
        <f>IFERROR(VLOOKUP($C94,'Tantárgyi adatok'!B:D,2,FALSE),"nincs")</f>
        <v>Szakdolgozat</v>
      </c>
      <c r="E94" t="s">
        <v>548</v>
      </c>
      <c r="F94" t="s">
        <v>549</v>
      </c>
      <c r="G94" t="s">
        <v>376</v>
      </c>
      <c r="H94" t="str">
        <f>IFERROR(VLOOKUP($C94,'Tantárgyi adatok'!B:D,3,FALSE),"nincs")</f>
        <v>Mérnökinformatikus</v>
      </c>
      <c r="I94" t="s">
        <v>172</v>
      </c>
    </row>
    <row r="95" spans="1:9" x14ac:dyDescent="0.25">
      <c r="A95" t="s">
        <v>310</v>
      </c>
      <c r="B95" t="s">
        <v>311</v>
      </c>
      <c r="C95" t="s">
        <v>45</v>
      </c>
      <c r="D95" t="str">
        <f>IFERROR(VLOOKUP($C95,'Tantárgyi adatok'!B:D,2,FALSE),"nincs")</f>
        <v>Szakdolgozat</v>
      </c>
      <c r="E95" t="s">
        <v>550</v>
      </c>
      <c r="F95" t="s">
        <v>551</v>
      </c>
      <c r="G95" t="s">
        <v>376</v>
      </c>
      <c r="H95" t="str">
        <f>IFERROR(VLOOKUP($C95,'Tantárgyi adatok'!B:D,3,FALSE),"nincs")</f>
        <v>Mérnökinformatikus</v>
      </c>
      <c r="I95" t="s">
        <v>115</v>
      </c>
    </row>
    <row r="96" spans="1:9" x14ac:dyDescent="0.25">
      <c r="A96" t="s">
        <v>312</v>
      </c>
      <c r="B96" t="s">
        <v>313</v>
      </c>
      <c r="C96" t="s">
        <v>45</v>
      </c>
      <c r="D96" t="str">
        <f>IFERROR(VLOOKUP($C96,'Tantárgyi adatok'!B:D,2,FALSE),"nincs")</f>
        <v>Szakdolgozat</v>
      </c>
      <c r="E96" t="s">
        <v>552</v>
      </c>
      <c r="F96" t="s">
        <v>553</v>
      </c>
      <c r="G96" t="s">
        <v>376</v>
      </c>
      <c r="H96" t="str">
        <f>IFERROR(VLOOKUP($C96,'Tantárgyi adatok'!B:D,3,FALSE),"nincs")</f>
        <v>Mérnökinformatikus</v>
      </c>
      <c r="I96" t="s">
        <v>109</v>
      </c>
    </row>
    <row r="97" spans="1:9" x14ac:dyDescent="0.25">
      <c r="A97" t="s">
        <v>314</v>
      </c>
      <c r="B97" t="s">
        <v>315</v>
      </c>
      <c r="C97" t="s">
        <v>45</v>
      </c>
      <c r="D97" t="str">
        <f>IFERROR(VLOOKUP($C97,'Tantárgyi adatok'!B:D,2,FALSE),"nincs")</f>
        <v>Szakdolgozat</v>
      </c>
      <c r="E97" t="s">
        <v>554</v>
      </c>
      <c r="F97" t="s">
        <v>555</v>
      </c>
      <c r="G97" t="s">
        <v>376</v>
      </c>
      <c r="H97" t="str">
        <f>IFERROR(VLOOKUP($C97,'Tantárgyi adatok'!B:D,3,FALSE),"nincs")</f>
        <v>Mérnökinformatikus</v>
      </c>
      <c r="I97" t="s">
        <v>178</v>
      </c>
    </row>
    <row r="98" spans="1:9" x14ac:dyDescent="0.25">
      <c r="A98" t="s">
        <v>316</v>
      </c>
      <c r="B98" t="s">
        <v>317</v>
      </c>
      <c r="C98" t="s">
        <v>45</v>
      </c>
      <c r="D98" t="str">
        <f>IFERROR(VLOOKUP($C98,'Tantárgyi adatok'!B:D,2,FALSE),"nincs")</f>
        <v>Szakdolgozat</v>
      </c>
      <c r="E98" t="s">
        <v>556</v>
      </c>
      <c r="F98" t="s">
        <v>557</v>
      </c>
      <c r="G98" t="s">
        <v>376</v>
      </c>
      <c r="H98" t="str">
        <f>IFERROR(VLOOKUP($C98,'Tantárgyi adatok'!B:D,3,FALSE),"nincs")</f>
        <v>Mérnökinformatikus</v>
      </c>
      <c r="I98" t="s">
        <v>123</v>
      </c>
    </row>
    <row r="99" spans="1:9" x14ac:dyDescent="0.25">
      <c r="A99" t="s">
        <v>318</v>
      </c>
      <c r="B99" t="s">
        <v>319</v>
      </c>
      <c r="C99" t="s">
        <v>45</v>
      </c>
      <c r="D99" t="str">
        <f>IFERROR(VLOOKUP($C99,'Tantárgyi adatok'!B:D,2,FALSE),"nincs")</f>
        <v>Szakdolgozat</v>
      </c>
      <c r="E99" t="s">
        <v>558</v>
      </c>
      <c r="F99" t="s">
        <v>559</v>
      </c>
      <c r="G99" t="s">
        <v>376</v>
      </c>
      <c r="H99" t="str">
        <f>IFERROR(VLOOKUP($C99,'Tantárgyi adatok'!B:D,3,FALSE),"nincs")</f>
        <v>Mérnökinformatikus</v>
      </c>
      <c r="I99" t="s">
        <v>109</v>
      </c>
    </row>
    <row r="100" spans="1:9" x14ac:dyDescent="0.25">
      <c r="A100" t="s">
        <v>320</v>
      </c>
      <c r="B100" t="s">
        <v>321</v>
      </c>
      <c r="C100" t="s">
        <v>45</v>
      </c>
      <c r="D100" t="str">
        <f>IFERROR(VLOOKUP($C100,'Tantárgyi adatok'!B:D,2,FALSE),"nincs")</f>
        <v>Szakdolgozat</v>
      </c>
      <c r="E100" t="s">
        <v>560</v>
      </c>
      <c r="F100" t="s">
        <v>561</v>
      </c>
      <c r="G100" t="s">
        <v>376</v>
      </c>
      <c r="H100" t="str">
        <f>IFERROR(VLOOKUP($C100,'Tantárgyi adatok'!B:D,3,FALSE),"nincs")</f>
        <v>Mérnökinformatikus</v>
      </c>
      <c r="I100" t="s">
        <v>109</v>
      </c>
    </row>
    <row r="101" spans="1:9" x14ac:dyDescent="0.25">
      <c r="A101" t="s">
        <v>322</v>
      </c>
      <c r="B101" t="s">
        <v>323</v>
      </c>
      <c r="C101" t="s">
        <v>45</v>
      </c>
      <c r="D101" t="str">
        <f>IFERROR(VLOOKUP($C101,'Tantárgyi adatok'!B:D,2,FALSE),"nincs")</f>
        <v>Szakdolgozat</v>
      </c>
      <c r="E101" t="s">
        <v>562</v>
      </c>
      <c r="F101" t="s">
        <v>563</v>
      </c>
      <c r="G101" t="s">
        <v>376</v>
      </c>
      <c r="H101" t="str">
        <f>IFERROR(VLOOKUP($C101,'Tantárgyi adatok'!B:D,3,FALSE),"nincs")</f>
        <v>Mérnökinformatikus</v>
      </c>
      <c r="I101" t="s">
        <v>178</v>
      </c>
    </row>
    <row r="102" spans="1:9" x14ac:dyDescent="0.25">
      <c r="A102" t="s">
        <v>324</v>
      </c>
      <c r="B102" t="s">
        <v>325</v>
      </c>
      <c r="C102" t="s">
        <v>45</v>
      </c>
      <c r="D102" t="str">
        <f>IFERROR(VLOOKUP($C102,'Tantárgyi adatok'!B:D,2,FALSE),"nincs")</f>
        <v>Szakdolgozat</v>
      </c>
      <c r="E102" t="s">
        <v>564</v>
      </c>
      <c r="F102" t="s">
        <v>565</v>
      </c>
      <c r="G102" t="s">
        <v>376</v>
      </c>
      <c r="H102" t="str">
        <f>IFERROR(VLOOKUP($C102,'Tantárgyi adatok'!B:D,3,FALSE),"nincs")</f>
        <v>Mérnökinformatikus</v>
      </c>
      <c r="I102" t="s">
        <v>90</v>
      </c>
    </row>
    <row r="103" spans="1:9" x14ac:dyDescent="0.25">
      <c r="A103" t="s">
        <v>326</v>
      </c>
      <c r="B103" t="s">
        <v>327</v>
      </c>
      <c r="C103" t="s">
        <v>45</v>
      </c>
      <c r="D103" t="str">
        <f>IFERROR(VLOOKUP($C103,'Tantárgyi adatok'!B:D,2,FALSE),"nincs")</f>
        <v>Szakdolgozat</v>
      </c>
      <c r="E103" t="s">
        <v>566</v>
      </c>
      <c r="F103" t="s">
        <v>567</v>
      </c>
      <c r="G103" t="s">
        <v>376</v>
      </c>
      <c r="H103" t="str">
        <f>IFERROR(VLOOKUP($C103,'Tantárgyi adatok'!B:D,3,FALSE),"nincs")</f>
        <v>Mérnökinformatikus</v>
      </c>
      <c r="I103" t="s">
        <v>93</v>
      </c>
    </row>
    <row r="104" spans="1:9" x14ac:dyDescent="0.25">
      <c r="A104" t="s">
        <v>328</v>
      </c>
      <c r="B104" t="s">
        <v>329</v>
      </c>
      <c r="C104" t="s">
        <v>45</v>
      </c>
      <c r="D104" t="str">
        <f>IFERROR(VLOOKUP($C104,'Tantárgyi adatok'!B:D,2,FALSE),"nincs")</f>
        <v>Szakdolgozat</v>
      </c>
      <c r="E104" t="s">
        <v>568</v>
      </c>
      <c r="F104" t="s">
        <v>569</v>
      </c>
      <c r="G104" t="s">
        <v>376</v>
      </c>
      <c r="H104" t="str">
        <f>IFERROR(VLOOKUP($C104,'Tantárgyi adatok'!B:D,3,FALSE),"nincs")</f>
        <v>Mérnökinformatikus</v>
      </c>
      <c r="I104" t="s">
        <v>180</v>
      </c>
    </row>
    <row r="105" spans="1:9" x14ac:dyDescent="0.25">
      <c r="A105" t="s">
        <v>330</v>
      </c>
      <c r="B105" t="s">
        <v>331</v>
      </c>
      <c r="C105" t="s">
        <v>45</v>
      </c>
      <c r="D105" t="str">
        <f>IFERROR(VLOOKUP($C105,'Tantárgyi adatok'!B:D,2,FALSE),"nincs")</f>
        <v>Szakdolgozat</v>
      </c>
      <c r="E105" t="s">
        <v>570</v>
      </c>
      <c r="F105" t="s">
        <v>571</v>
      </c>
      <c r="G105" t="s">
        <v>376</v>
      </c>
      <c r="H105" t="str">
        <f>IFERROR(VLOOKUP($C105,'Tantárgyi adatok'!B:D,3,FALSE),"nincs")</f>
        <v>Mérnökinformatikus</v>
      </c>
      <c r="I105" t="s">
        <v>178</v>
      </c>
    </row>
    <row r="106" spans="1:9" x14ac:dyDescent="0.25">
      <c r="A106" t="s">
        <v>332</v>
      </c>
      <c r="B106" t="s">
        <v>333</v>
      </c>
      <c r="C106" t="s">
        <v>45</v>
      </c>
      <c r="D106" t="str">
        <f>IFERROR(VLOOKUP($C106,'Tantárgyi adatok'!B:D,2,FALSE),"nincs")</f>
        <v>Szakdolgozat</v>
      </c>
      <c r="E106" t="s">
        <v>572</v>
      </c>
      <c r="F106" t="s">
        <v>573</v>
      </c>
      <c r="G106" t="s">
        <v>376</v>
      </c>
      <c r="H106" t="str">
        <f>IFERROR(VLOOKUP($C106,'Tantárgyi adatok'!B:D,3,FALSE),"nincs")</f>
        <v>Mérnökinformatikus</v>
      </c>
      <c r="I106" t="s">
        <v>178</v>
      </c>
    </row>
    <row r="107" spans="1:9" x14ac:dyDescent="0.25">
      <c r="A107" t="s">
        <v>334</v>
      </c>
      <c r="B107" t="s">
        <v>335</v>
      </c>
      <c r="C107" t="s">
        <v>45</v>
      </c>
      <c r="D107" t="str">
        <f>IFERROR(VLOOKUP($C107,'Tantárgyi adatok'!B:D,2,FALSE),"nincs")</f>
        <v>Szakdolgozat</v>
      </c>
      <c r="E107" t="s">
        <v>574</v>
      </c>
      <c r="F107" t="s">
        <v>575</v>
      </c>
      <c r="G107" t="s">
        <v>376</v>
      </c>
      <c r="H107" t="str">
        <f>IFERROR(VLOOKUP($C107,'Tantárgyi adatok'!B:D,3,FALSE),"nincs")</f>
        <v>Mérnökinformatikus</v>
      </c>
      <c r="I107" t="s">
        <v>336</v>
      </c>
    </row>
    <row r="108" spans="1:9" x14ac:dyDescent="0.25">
      <c r="A108" t="s">
        <v>337</v>
      </c>
      <c r="B108" t="s">
        <v>338</v>
      </c>
      <c r="C108" t="s">
        <v>45</v>
      </c>
      <c r="D108" t="str">
        <f>IFERROR(VLOOKUP($C108,'Tantárgyi adatok'!B:D,2,FALSE),"nincs")</f>
        <v>Szakdolgozat</v>
      </c>
      <c r="E108" t="s">
        <v>576</v>
      </c>
      <c r="F108" t="s">
        <v>577</v>
      </c>
      <c r="G108" t="s">
        <v>376</v>
      </c>
      <c r="H108" t="str">
        <f>IFERROR(VLOOKUP($C108,'Tantárgyi adatok'!B:D,3,FALSE),"nincs")</f>
        <v>Mérnökinformatikus</v>
      </c>
      <c r="I108" t="s">
        <v>85</v>
      </c>
    </row>
    <row r="109" spans="1:9" x14ac:dyDescent="0.25">
      <c r="A109" t="s">
        <v>339</v>
      </c>
      <c r="B109" t="s">
        <v>340</v>
      </c>
      <c r="C109" t="s">
        <v>45</v>
      </c>
      <c r="D109" t="str">
        <f>IFERROR(VLOOKUP($C109,'Tantárgyi adatok'!B:D,2,FALSE),"nincs")</f>
        <v>Szakdolgozat</v>
      </c>
      <c r="E109" t="s">
        <v>578</v>
      </c>
      <c r="F109" t="s">
        <v>579</v>
      </c>
      <c r="G109" t="s">
        <v>376</v>
      </c>
      <c r="H109" t="str">
        <f>IFERROR(VLOOKUP($C109,'Tantárgyi adatok'!B:D,3,FALSE),"nincs")</f>
        <v>Mérnökinformatikus</v>
      </c>
      <c r="I109" t="s">
        <v>85</v>
      </c>
    </row>
    <row r="110" spans="1:9" x14ac:dyDescent="0.25">
      <c r="A110" t="s">
        <v>341</v>
      </c>
      <c r="B110" t="s">
        <v>342</v>
      </c>
      <c r="C110" t="s">
        <v>45</v>
      </c>
      <c r="D110" t="str">
        <f>IFERROR(VLOOKUP($C110,'Tantárgyi adatok'!B:D,2,FALSE),"nincs")</f>
        <v>Szakdolgozat</v>
      </c>
      <c r="E110" t="s">
        <v>580</v>
      </c>
      <c r="F110" t="s">
        <v>581</v>
      </c>
      <c r="G110" t="s">
        <v>376</v>
      </c>
      <c r="H110" t="str">
        <f>IFERROR(VLOOKUP($C110,'Tantárgyi adatok'!B:D,3,FALSE),"nincs")</f>
        <v>Mérnökinformatikus</v>
      </c>
      <c r="I110" t="s">
        <v>85</v>
      </c>
    </row>
    <row r="111" spans="1:9" x14ac:dyDescent="0.25">
      <c r="A111" t="s">
        <v>343</v>
      </c>
      <c r="B111" t="s">
        <v>344</v>
      </c>
      <c r="C111" t="s">
        <v>45</v>
      </c>
      <c r="D111" t="str">
        <f>IFERROR(VLOOKUP($C111,'Tantárgyi adatok'!B:D,2,FALSE),"nincs")</f>
        <v>Szakdolgozat</v>
      </c>
      <c r="E111" t="s">
        <v>582</v>
      </c>
      <c r="F111" t="s">
        <v>583</v>
      </c>
      <c r="G111" t="s">
        <v>433</v>
      </c>
      <c r="H111" t="str">
        <f>IFERROR(VLOOKUP($C111,'Tantárgyi adatok'!B:D,3,FALSE),"nincs")</f>
        <v>Mérnökinformatikus</v>
      </c>
      <c r="I111" t="s">
        <v>96</v>
      </c>
    </row>
    <row r="112" spans="1:9" x14ac:dyDescent="0.25">
      <c r="A112" t="s">
        <v>343</v>
      </c>
      <c r="B112" t="s">
        <v>344</v>
      </c>
      <c r="C112" t="s">
        <v>45</v>
      </c>
      <c r="D112" t="str">
        <f>IFERROR(VLOOKUP($C112,'Tantárgyi adatok'!B:D,2,FALSE),"nincs")</f>
        <v>Szakdolgozat</v>
      </c>
      <c r="E112" t="s">
        <v>582</v>
      </c>
      <c r="F112" t="s">
        <v>583</v>
      </c>
      <c r="G112" t="s">
        <v>433</v>
      </c>
      <c r="H112" t="str">
        <f>IFERROR(VLOOKUP($C112,'Tantárgyi adatok'!B:D,3,FALSE),"nincs")</f>
        <v>Mérnökinformatikus</v>
      </c>
      <c r="I112" t="s">
        <v>90</v>
      </c>
    </row>
    <row r="113" spans="1:9" x14ac:dyDescent="0.25">
      <c r="A113" t="s">
        <v>345</v>
      </c>
      <c r="B113" t="s">
        <v>346</v>
      </c>
      <c r="C113" t="s">
        <v>45</v>
      </c>
      <c r="D113" t="str">
        <f>IFERROR(VLOOKUP($C113,'Tantárgyi adatok'!B:D,2,FALSE),"nincs")</f>
        <v>Szakdolgozat</v>
      </c>
      <c r="E113" t="s">
        <v>582</v>
      </c>
      <c r="F113" t="s">
        <v>583</v>
      </c>
      <c r="G113" t="s">
        <v>433</v>
      </c>
      <c r="H113" t="str">
        <f>IFERROR(VLOOKUP($C113,'Tantárgyi adatok'!B:D,3,FALSE),"nincs")</f>
        <v>Mérnökinformatikus</v>
      </c>
      <c r="I113" t="s">
        <v>179</v>
      </c>
    </row>
    <row r="114" spans="1:9" x14ac:dyDescent="0.25">
      <c r="A114" t="s">
        <v>347</v>
      </c>
      <c r="B114" t="s">
        <v>348</v>
      </c>
      <c r="C114" t="s">
        <v>45</v>
      </c>
      <c r="D114" t="str">
        <f>IFERROR(VLOOKUP($C114,'Tantárgyi adatok'!B:D,2,FALSE),"nincs")</f>
        <v>Szakdolgozat</v>
      </c>
      <c r="E114" t="s">
        <v>584</v>
      </c>
      <c r="F114" t="s">
        <v>585</v>
      </c>
      <c r="G114" t="s">
        <v>376</v>
      </c>
      <c r="H114" t="str">
        <f>IFERROR(VLOOKUP($C114,'Tantárgyi adatok'!B:D,3,FALSE),"nincs")</f>
        <v>Mérnökinformatikus</v>
      </c>
      <c r="I114" t="s">
        <v>178</v>
      </c>
    </row>
    <row r="115" spans="1:9" x14ac:dyDescent="0.25">
      <c r="A115" t="s">
        <v>349</v>
      </c>
      <c r="B115" t="s">
        <v>350</v>
      </c>
      <c r="C115" t="s">
        <v>45</v>
      </c>
      <c r="D115" t="str">
        <f>IFERROR(VLOOKUP($C115,'Tantárgyi adatok'!B:D,2,FALSE),"nincs")</f>
        <v>Szakdolgozat</v>
      </c>
      <c r="E115" t="s">
        <v>586</v>
      </c>
      <c r="F115" t="s">
        <v>587</v>
      </c>
      <c r="G115" t="s">
        <v>376</v>
      </c>
      <c r="H115" t="str">
        <f>IFERROR(VLOOKUP($C115,'Tantárgyi adatok'!B:D,3,FALSE),"nincs")</f>
        <v>Mérnökinformatikus</v>
      </c>
      <c r="I115" t="s">
        <v>178</v>
      </c>
    </row>
    <row r="116" spans="1:9" x14ac:dyDescent="0.25">
      <c r="A116" t="s">
        <v>351</v>
      </c>
      <c r="B116" t="s">
        <v>352</v>
      </c>
      <c r="C116" t="s">
        <v>45</v>
      </c>
      <c r="D116" t="str">
        <f>IFERROR(VLOOKUP($C116,'Tantárgyi adatok'!B:D,2,FALSE),"nincs")</f>
        <v>Szakdolgozat</v>
      </c>
      <c r="E116" t="s">
        <v>440</v>
      </c>
      <c r="F116" t="s">
        <v>441</v>
      </c>
      <c r="G116" t="s">
        <v>376</v>
      </c>
      <c r="H116" t="str">
        <f>IFERROR(VLOOKUP($C116,'Tantárgyi adatok'!B:D,3,FALSE),"nincs")</f>
        <v>Mérnökinformatikus</v>
      </c>
      <c r="I116" t="s">
        <v>93</v>
      </c>
    </row>
    <row r="117" spans="1:9" x14ac:dyDescent="0.25">
      <c r="A117" t="s">
        <v>353</v>
      </c>
      <c r="B117" t="s">
        <v>354</v>
      </c>
      <c r="C117" t="s">
        <v>45</v>
      </c>
      <c r="D117" t="str">
        <f>IFERROR(VLOOKUP($C117,'Tantárgyi adatok'!B:D,2,FALSE),"nincs")</f>
        <v>Szakdolgozat</v>
      </c>
      <c r="E117" t="s">
        <v>588</v>
      </c>
      <c r="F117" t="s">
        <v>589</v>
      </c>
      <c r="G117" t="s">
        <v>376</v>
      </c>
      <c r="H117" t="str">
        <f>IFERROR(VLOOKUP($C117,'Tantárgyi adatok'!B:D,3,FALSE),"nincs")</f>
        <v>Mérnökinformatikus</v>
      </c>
      <c r="I117" t="s">
        <v>109</v>
      </c>
    </row>
    <row r="118" spans="1:9" x14ac:dyDescent="0.25">
      <c r="A118" t="s">
        <v>355</v>
      </c>
      <c r="B118" t="s">
        <v>356</v>
      </c>
      <c r="C118" t="s">
        <v>45</v>
      </c>
      <c r="D118" t="str">
        <f>IFERROR(VLOOKUP($C118,'Tantárgyi adatok'!B:D,2,FALSE),"nincs")</f>
        <v>Szakdolgozat</v>
      </c>
      <c r="E118" t="s">
        <v>590</v>
      </c>
      <c r="F118" t="s">
        <v>591</v>
      </c>
      <c r="G118" t="s">
        <v>376</v>
      </c>
      <c r="H118" t="str">
        <f>IFERROR(VLOOKUP($C118,'Tantárgyi adatok'!B:D,3,FALSE),"nincs")</f>
        <v>Mérnökinformatikus</v>
      </c>
      <c r="I118" t="s">
        <v>357</v>
      </c>
    </row>
    <row r="119" spans="1:9" x14ac:dyDescent="0.25">
      <c r="A119" t="s">
        <v>358</v>
      </c>
      <c r="B119" t="s">
        <v>359</v>
      </c>
      <c r="C119" t="s">
        <v>45</v>
      </c>
      <c r="D119" t="str">
        <f>IFERROR(VLOOKUP($C119,'Tantárgyi adatok'!B:D,2,FALSE),"nincs")</f>
        <v>Szakdolgozat</v>
      </c>
      <c r="E119" t="s">
        <v>592</v>
      </c>
      <c r="F119" t="s">
        <v>593</v>
      </c>
      <c r="G119" t="s">
        <v>376</v>
      </c>
      <c r="H119" t="str">
        <f>IFERROR(VLOOKUP($C119,'Tantárgyi adatok'!B:D,3,FALSE),"nincs")</f>
        <v>Mérnökinformatikus</v>
      </c>
      <c r="I119" t="s">
        <v>99</v>
      </c>
    </row>
    <row r="120" spans="1:9" x14ac:dyDescent="0.25">
      <c r="A120" t="s">
        <v>360</v>
      </c>
      <c r="B120" t="s">
        <v>361</v>
      </c>
      <c r="C120" t="s">
        <v>47</v>
      </c>
      <c r="D120" t="str">
        <f>IFERROR(VLOOKUP($C120,'Tantárgyi adatok'!B:D,2,FALSE),"nincs")</f>
        <v>Szakdolgozat</v>
      </c>
      <c r="E120" t="s">
        <v>594</v>
      </c>
      <c r="F120" t="s">
        <v>595</v>
      </c>
      <c r="G120" t="s">
        <v>376</v>
      </c>
      <c r="H120" t="str">
        <f>IFERROR(VLOOKUP($C120,'Tantárgyi adatok'!B:D,3,FALSE),"nincs")</f>
        <v>Mérnökinformatikus</v>
      </c>
      <c r="I120" t="s">
        <v>85</v>
      </c>
    </row>
    <row r="121" spans="1:9" x14ac:dyDescent="0.25">
      <c r="A121" t="s">
        <v>362</v>
      </c>
      <c r="B121" t="s">
        <v>363</v>
      </c>
      <c r="C121" t="s">
        <v>47</v>
      </c>
      <c r="D121" t="str">
        <f>IFERROR(VLOOKUP($C121,'Tantárgyi adatok'!B:D,2,FALSE),"nincs")</f>
        <v>Szakdolgozat</v>
      </c>
      <c r="E121" t="s">
        <v>596</v>
      </c>
      <c r="F121" t="s">
        <v>597</v>
      </c>
      <c r="G121" t="s">
        <v>433</v>
      </c>
      <c r="H121" t="str">
        <f>IFERROR(VLOOKUP($C121,'Tantárgyi adatok'!B:D,3,FALSE),"nincs")</f>
        <v>Mérnökinformatikus</v>
      </c>
      <c r="I121" t="s">
        <v>85</v>
      </c>
    </row>
    <row r="122" spans="1:9" x14ac:dyDescent="0.25">
      <c r="A122" t="s">
        <v>364</v>
      </c>
      <c r="B122" t="s">
        <v>365</v>
      </c>
      <c r="C122" t="s">
        <v>47</v>
      </c>
      <c r="D122" t="str">
        <f>IFERROR(VLOOKUP($C122,'Tantárgyi adatok'!B:D,2,FALSE),"nincs")</f>
        <v>Szakdolgozat</v>
      </c>
      <c r="E122" t="s">
        <v>598</v>
      </c>
      <c r="F122" t="s">
        <v>599</v>
      </c>
      <c r="G122" t="s">
        <v>376</v>
      </c>
      <c r="H122" t="str">
        <f>IFERROR(VLOOKUP($C122,'Tantárgyi adatok'!B:D,3,FALSE),"nincs")</f>
        <v>Mérnökinformatikus</v>
      </c>
      <c r="I122" t="s">
        <v>85</v>
      </c>
    </row>
    <row r="123" spans="1:9" x14ac:dyDescent="0.25">
      <c r="A123" t="s">
        <v>366</v>
      </c>
      <c r="B123" t="s">
        <v>367</v>
      </c>
      <c r="C123" t="s">
        <v>47</v>
      </c>
      <c r="D123" t="str">
        <f>IFERROR(VLOOKUP($C123,'Tantárgyi adatok'!B:D,2,FALSE),"nincs")</f>
        <v>Szakdolgozat</v>
      </c>
      <c r="E123" t="s">
        <v>600</v>
      </c>
      <c r="F123" t="s">
        <v>601</v>
      </c>
      <c r="G123" t="s">
        <v>376</v>
      </c>
      <c r="H123" t="str">
        <f>IFERROR(VLOOKUP($C123,'Tantárgyi adatok'!B:D,3,FALSE),"nincs")</f>
        <v>Mérnökinformatikus</v>
      </c>
      <c r="I123" t="s">
        <v>90</v>
      </c>
    </row>
    <row r="124" spans="1:9" x14ac:dyDescent="0.25">
      <c r="A124" t="s">
        <v>368</v>
      </c>
      <c r="B124" t="s">
        <v>369</v>
      </c>
      <c r="C124" t="s">
        <v>47</v>
      </c>
      <c r="D124" t="str">
        <f>IFERROR(VLOOKUP($C124,'Tantárgyi adatok'!B:D,2,FALSE),"nincs")</f>
        <v>Szakdolgozat</v>
      </c>
      <c r="E124" t="s">
        <v>602</v>
      </c>
      <c r="F124" t="s">
        <v>603</v>
      </c>
      <c r="G124" t="s">
        <v>376</v>
      </c>
      <c r="H124" t="str">
        <f>IFERROR(VLOOKUP($C124,'Tantárgyi adatok'!B:D,3,FALSE),"nincs")</f>
        <v>Mérnökinformatikus</v>
      </c>
      <c r="I124" t="s">
        <v>178</v>
      </c>
    </row>
    <row r="125" spans="1:9" x14ac:dyDescent="0.25">
      <c r="A125" t="s">
        <v>370</v>
      </c>
      <c r="B125" t="s">
        <v>371</v>
      </c>
      <c r="C125" t="s">
        <v>47</v>
      </c>
      <c r="D125" t="str">
        <f>IFERROR(VLOOKUP($C125,'Tantárgyi adatok'!B:D,2,FALSE),"nincs")</f>
        <v>Szakdolgozat</v>
      </c>
      <c r="E125" t="s">
        <v>604</v>
      </c>
      <c r="F125" t="s">
        <v>605</v>
      </c>
      <c r="G125" t="s">
        <v>376</v>
      </c>
      <c r="H125" t="str">
        <f>IFERROR(VLOOKUP($C125,'Tantárgyi adatok'!B:D,3,FALSE),"nincs")</f>
        <v>Mérnökinformatikus</v>
      </c>
      <c r="I125" t="s">
        <v>90</v>
      </c>
    </row>
    <row r="126" spans="1:9" x14ac:dyDescent="0.25">
      <c r="A126" t="s">
        <v>372</v>
      </c>
      <c r="B126" t="s">
        <v>373</v>
      </c>
      <c r="C126" t="s">
        <v>47</v>
      </c>
      <c r="D126" t="str">
        <f>IFERROR(VLOOKUP($C126,'Tantárgyi adatok'!B:D,2,FALSE),"nincs")</f>
        <v>Szakdolgozat</v>
      </c>
      <c r="E126" t="s">
        <v>606</v>
      </c>
      <c r="F126" t="s">
        <v>607</v>
      </c>
      <c r="G126" t="s">
        <v>376</v>
      </c>
      <c r="H126" t="str">
        <f>IFERROR(VLOOKUP($C126,'Tantárgyi adatok'!B:D,3,FALSE),"nincs")</f>
        <v>Mérnökinformatikus</v>
      </c>
      <c r="I126" t="s">
        <v>112</v>
      </c>
    </row>
  </sheetData>
  <sortState xmlns:xlrd2="http://schemas.microsoft.com/office/spreadsheetml/2017/richdata2" ref="A2:I36">
    <sortCondition ref="D1:D3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B73A-E754-4766-BBD1-BF3947DED9AB}">
  <sheetPr codeName="Munka3"/>
  <dimension ref="A1:D24"/>
  <sheetViews>
    <sheetView workbookViewId="0">
      <selection activeCell="C25" sqref="C25"/>
    </sheetView>
  </sheetViews>
  <sheetFormatPr defaultRowHeight="15" x14ac:dyDescent="0.25"/>
  <cols>
    <col min="1" max="1" width="54" customWidth="1"/>
    <col min="2" max="2" width="11" customWidth="1"/>
    <col min="3" max="3" width="23.42578125" bestFit="1" customWidth="1"/>
    <col min="4" max="4" width="21.140625" bestFit="1" customWidth="1"/>
  </cols>
  <sheetData>
    <row r="1" spans="1:4" ht="16.5" thickBot="1" x14ac:dyDescent="0.3">
      <c r="A1" s="1" t="s">
        <v>0</v>
      </c>
      <c r="B1" s="1" t="s">
        <v>1</v>
      </c>
      <c r="C1" s="1" t="s">
        <v>48</v>
      </c>
      <c r="D1" s="1" t="s">
        <v>49</v>
      </c>
    </row>
    <row r="2" spans="1:4" x14ac:dyDescent="0.25">
      <c r="A2" t="s">
        <v>38</v>
      </c>
      <c r="B2" t="s">
        <v>39</v>
      </c>
      <c r="C2" t="s">
        <v>53</v>
      </c>
      <c r="D2" t="s">
        <v>52</v>
      </c>
    </row>
    <row r="3" spans="1:4" x14ac:dyDescent="0.25">
      <c r="A3" t="s">
        <v>20</v>
      </c>
      <c r="B3" t="s">
        <v>21</v>
      </c>
    </row>
    <row r="4" spans="1:4" x14ac:dyDescent="0.25">
      <c r="A4" t="s">
        <v>24</v>
      </c>
      <c r="B4" t="s">
        <v>25</v>
      </c>
    </row>
    <row r="5" spans="1:4" x14ac:dyDescent="0.25">
      <c r="A5" t="s">
        <v>22</v>
      </c>
      <c r="B5" t="s">
        <v>23</v>
      </c>
    </row>
    <row r="6" spans="1:4" x14ac:dyDescent="0.25">
      <c r="A6" t="s">
        <v>44</v>
      </c>
      <c r="B6" t="s">
        <v>45</v>
      </c>
      <c r="C6" t="s">
        <v>53</v>
      </c>
      <c r="D6" t="s">
        <v>50</v>
      </c>
    </row>
    <row r="7" spans="1:4" x14ac:dyDescent="0.25">
      <c r="A7" t="s">
        <v>42</v>
      </c>
      <c r="B7" t="s">
        <v>43</v>
      </c>
      <c r="C7" t="s">
        <v>53</v>
      </c>
      <c r="D7" t="s">
        <v>51</v>
      </c>
    </row>
    <row r="8" spans="1:4" x14ac:dyDescent="0.25">
      <c r="A8" t="s">
        <v>46</v>
      </c>
      <c r="B8" t="s">
        <v>47</v>
      </c>
      <c r="C8" t="s">
        <v>53</v>
      </c>
      <c r="D8" t="s">
        <v>50</v>
      </c>
    </row>
    <row r="9" spans="1:4" x14ac:dyDescent="0.25">
      <c r="A9" t="s">
        <v>40</v>
      </c>
      <c r="B9" t="s">
        <v>41</v>
      </c>
      <c r="C9" t="s">
        <v>53</v>
      </c>
      <c r="D9" t="s">
        <v>51</v>
      </c>
    </row>
    <row r="10" spans="1:4" x14ac:dyDescent="0.25">
      <c r="A10" t="s">
        <v>16</v>
      </c>
      <c r="B10" t="s">
        <v>17</v>
      </c>
      <c r="C10" t="s">
        <v>54</v>
      </c>
      <c r="D10" t="s">
        <v>52</v>
      </c>
    </row>
    <row r="11" spans="1:4" x14ac:dyDescent="0.25">
      <c r="A11" t="s">
        <v>18</v>
      </c>
      <c r="B11" t="s">
        <v>19</v>
      </c>
    </row>
    <row r="12" spans="1:4" x14ac:dyDescent="0.25">
      <c r="A12" t="s">
        <v>36</v>
      </c>
      <c r="B12" t="s">
        <v>37</v>
      </c>
    </row>
    <row r="13" spans="1:4" x14ac:dyDescent="0.25">
      <c r="A13" t="s">
        <v>28</v>
      </c>
      <c r="B13" t="s">
        <v>29</v>
      </c>
    </row>
    <row r="14" spans="1:4" x14ac:dyDescent="0.25">
      <c r="A14" t="s">
        <v>26</v>
      </c>
      <c r="B14" t="s">
        <v>27</v>
      </c>
    </row>
    <row r="15" spans="1:4" x14ac:dyDescent="0.25">
      <c r="A15" t="s">
        <v>32</v>
      </c>
      <c r="B15" t="s">
        <v>33</v>
      </c>
    </row>
    <row r="16" spans="1:4" x14ac:dyDescent="0.25">
      <c r="A16" t="s">
        <v>30</v>
      </c>
      <c r="B16" t="s">
        <v>31</v>
      </c>
    </row>
    <row r="17" spans="1:4" x14ac:dyDescent="0.25">
      <c r="A17" t="s">
        <v>34</v>
      </c>
      <c r="B17" t="s">
        <v>35</v>
      </c>
    </row>
    <row r="18" spans="1:4" x14ac:dyDescent="0.25">
      <c r="A18" t="s">
        <v>2</v>
      </c>
      <c r="B18" t="s">
        <v>3</v>
      </c>
      <c r="C18" t="s">
        <v>54</v>
      </c>
      <c r="D18" t="s">
        <v>50</v>
      </c>
    </row>
    <row r="19" spans="1:4" x14ac:dyDescent="0.25">
      <c r="A19" t="s">
        <v>6</v>
      </c>
      <c r="B19" t="s">
        <v>7</v>
      </c>
      <c r="C19" t="s">
        <v>54</v>
      </c>
      <c r="D19" t="s">
        <v>51</v>
      </c>
    </row>
    <row r="20" spans="1:4" x14ac:dyDescent="0.25">
      <c r="A20" t="s">
        <v>12</v>
      </c>
      <c r="B20" t="s">
        <v>13</v>
      </c>
    </row>
    <row r="21" spans="1:4" x14ac:dyDescent="0.25">
      <c r="A21" t="s">
        <v>4</v>
      </c>
      <c r="B21" t="s">
        <v>5</v>
      </c>
      <c r="C21" t="s">
        <v>54</v>
      </c>
      <c r="D21" t="s">
        <v>50</v>
      </c>
    </row>
    <row r="22" spans="1:4" x14ac:dyDescent="0.25">
      <c r="A22" t="s">
        <v>10</v>
      </c>
      <c r="B22" t="s">
        <v>11</v>
      </c>
    </row>
    <row r="23" spans="1:4" x14ac:dyDescent="0.25">
      <c r="A23" t="s">
        <v>8</v>
      </c>
      <c r="B23" t="s">
        <v>9</v>
      </c>
      <c r="C23" t="s">
        <v>54</v>
      </c>
      <c r="D23" t="s">
        <v>51</v>
      </c>
    </row>
    <row r="24" spans="1:4" x14ac:dyDescent="0.25">
      <c r="A24" t="s">
        <v>14</v>
      </c>
      <c r="B24" t="s">
        <v>15</v>
      </c>
    </row>
  </sheetData>
  <sortState xmlns:xlrd2="http://schemas.microsoft.com/office/spreadsheetml/2017/richdata2" ref="A2:B24">
    <sortCondition ref="B1:B24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C0271-932D-4CCB-94D8-9B2E78F27A62}">
  <sheetPr codeName="Munka4"/>
  <dimension ref="A1"/>
  <sheetViews>
    <sheetView workbookViewId="0">
      <selection activeCell="I22" sqref="I22"/>
    </sheetView>
  </sheetViews>
  <sheetFormatPr defaultRowHeight="15" x14ac:dyDescent="0.25"/>
  <cols>
    <col min="1" max="1" width="27.42578125" customWidth="1"/>
    <col min="2" max="2" width="18.5703125" customWidth="1"/>
  </cols>
  <sheetData>
    <row r="1" s="2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6021-D96B-4C67-A763-D8E26B0BBE56}">
  <sheetPr codeName="Munka5"/>
  <dimension ref="A1:C4"/>
  <sheetViews>
    <sheetView workbookViewId="0">
      <selection activeCell="A5" sqref="A5"/>
    </sheetView>
  </sheetViews>
  <sheetFormatPr defaultRowHeight="15" x14ac:dyDescent="0.25"/>
  <cols>
    <col min="1" max="1" width="21.85546875" customWidth="1"/>
    <col min="2" max="2" width="33.5703125" customWidth="1"/>
    <col min="3" max="3" width="30.140625" customWidth="1"/>
  </cols>
  <sheetData>
    <row r="1" spans="1:3" s="2" customFormat="1" x14ac:dyDescent="0.25">
      <c r="A1" s="2" t="s">
        <v>73</v>
      </c>
      <c r="B1" s="2" t="s">
        <v>74</v>
      </c>
      <c r="C1" s="2" t="s">
        <v>75</v>
      </c>
    </row>
    <row r="2" spans="1:3" x14ac:dyDescent="0.25">
      <c r="A2" t="s">
        <v>76</v>
      </c>
      <c r="B2" t="s">
        <v>79</v>
      </c>
      <c r="C2" t="s">
        <v>80</v>
      </c>
    </row>
    <row r="3" spans="1:3" x14ac:dyDescent="0.25">
      <c r="A3" t="s">
        <v>77</v>
      </c>
      <c r="B3" t="s">
        <v>81</v>
      </c>
      <c r="C3" t="s">
        <v>82</v>
      </c>
    </row>
    <row r="4" spans="1:3" x14ac:dyDescent="0.25">
      <c r="A4" t="s">
        <v>78</v>
      </c>
      <c r="B4" t="s">
        <v>83</v>
      </c>
      <c r="C4" t="s">
        <v>84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AC56-0A50-44A1-80BD-B77D5650D8EC}">
  <sheetPr codeName="Munka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Útmutató</vt:lpstr>
      <vt:lpstr>GeneráltHallgatóiLista</vt:lpstr>
      <vt:lpstr>Tantárgyi adatok</vt:lpstr>
      <vt:lpstr>Beállítások</vt:lpstr>
      <vt:lpstr>TemplatesAndFiles</vt:lpstr>
      <vt:lpstr>temp_cimek_import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Csorba Kristóf</dc:creator>
  <cp:lastModifiedBy>Csorba Kristóf</cp:lastModifiedBy>
  <dcterms:created xsi:type="dcterms:W3CDTF">2025-09-26T08:13:19Z</dcterms:created>
  <dcterms:modified xsi:type="dcterms:W3CDTF">2025-11-12T08:32:29Z</dcterms:modified>
</cp:coreProperties>
</file>